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rtinezcomin-my.sharepoint.com/personal/cmonserrat_martinezcomin_com/Documents/Escritorio/"/>
    </mc:Choice>
  </mc:AlternateContent>
  <xr:revisionPtr revIDLastSave="7" documentId="13_ncr:1_{392EC766-88AA-4123-8626-72C4D22ADC5B}" xr6:coauthVersionLast="47" xr6:coauthVersionMax="47" xr10:uidLastSave="{82D14A89-B8DC-48C1-BE2F-931DC90008E1}"/>
  <bookViews>
    <workbookView xWindow="-120" yWindow="-120" windowWidth="29040" windowHeight="15720" tabRatio="500" xr2:uid="{00000000-000D-0000-FFFF-FFFF00000000}"/>
  </bookViews>
  <sheets>
    <sheet name="Portada" sheetId="1" r:id="rId1"/>
    <sheet name="1. Balanç de Situació" sheetId="2" r:id="rId2"/>
    <sheet name="2. Compte de P&amp;G" sheetId="3" r:id="rId3"/>
    <sheet name="3. Llibre Amortitzacions" sheetId="4" r:id="rId4"/>
    <sheet name="4. Llibre de Clients" sheetId="5" r:id="rId5"/>
    <sheet name="5. Llibre de Proveïdors" sheetId="6" r:id="rId6"/>
    <sheet name="6. Conciliació Bancàri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7" l="1"/>
  <c r="D8" i="7"/>
  <c r="D18" i="7" s="1"/>
  <c r="D20" i="6"/>
  <c r="G18" i="6"/>
  <c r="F18" i="6"/>
  <c r="E18" i="6"/>
  <c r="D18" i="6"/>
  <c r="C18" i="6"/>
  <c r="J18" i="5"/>
  <c r="D20" i="5" s="1"/>
  <c r="D22" i="5" s="1"/>
  <c r="I18" i="5"/>
  <c r="H18" i="5"/>
  <c r="G18" i="5"/>
  <c r="F18" i="5"/>
  <c r="E18" i="5"/>
  <c r="D18" i="5"/>
  <c r="C18" i="5"/>
  <c r="G18" i="4"/>
  <c r="F18" i="4"/>
  <c r="C18" i="4"/>
  <c r="I17" i="4"/>
  <c r="H17" i="4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I10" i="4"/>
  <c r="H10" i="4"/>
  <c r="I9" i="4"/>
  <c r="H9" i="4"/>
  <c r="H8" i="4"/>
  <c r="I8" i="4" s="1"/>
  <c r="H7" i="4"/>
  <c r="I7" i="4" s="1"/>
  <c r="H6" i="4"/>
  <c r="I6" i="4" s="1"/>
  <c r="H5" i="4"/>
  <c r="I5" i="4" s="1"/>
  <c r="H4" i="4"/>
  <c r="I4" i="4" s="1"/>
  <c r="H3" i="4"/>
  <c r="H18" i="4" s="1"/>
  <c r="E42" i="3"/>
  <c r="D42" i="3"/>
  <c r="F41" i="3"/>
  <c r="F39" i="3"/>
  <c r="F36" i="3"/>
  <c r="E36" i="3"/>
  <c r="D36" i="3"/>
  <c r="F35" i="3"/>
  <c r="F34" i="3"/>
  <c r="F33" i="3"/>
  <c r="F32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E8" i="3"/>
  <c r="E27" i="3" s="1"/>
  <c r="E30" i="3" s="1"/>
  <c r="E37" i="3" s="1"/>
  <c r="E43" i="3" s="1"/>
  <c r="D8" i="3"/>
  <c r="F7" i="3"/>
  <c r="F6" i="3"/>
  <c r="F5" i="3"/>
  <c r="E54" i="2"/>
  <c r="D54" i="2"/>
  <c r="F54" i="2" s="1"/>
  <c r="F53" i="2"/>
  <c r="F52" i="2"/>
  <c r="F51" i="2"/>
  <c r="F50" i="2"/>
  <c r="F49" i="2"/>
  <c r="F48" i="2"/>
  <c r="F47" i="2"/>
  <c r="F46" i="2"/>
  <c r="F45" i="2"/>
  <c r="E43" i="2"/>
  <c r="D43" i="2"/>
  <c r="F42" i="2"/>
  <c r="F41" i="2"/>
  <c r="F40" i="2"/>
  <c r="F39" i="2"/>
  <c r="E37" i="2"/>
  <c r="E56" i="2" s="1"/>
  <c r="D37" i="2"/>
  <c r="F37" i="2" s="1"/>
  <c r="F36" i="2"/>
  <c r="F35" i="2"/>
  <c r="F34" i="2"/>
  <c r="F33" i="2"/>
  <c r="E27" i="2"/>
  <c r="D27" i="2"/>
  <c r="F27" i="2" s="1"/>
  <c r="F26" i="2"/>
  <c r="F25" i="2"/>
  <c r="F24" i="2"/>
  <c r="F23" i="2"/>
  <c r="F22" i="2"/>
  <c r="F21" i="2"/>
  <c r="F20" i="2"/>
  <c r="F19" i="2"/>
  <c r="F18" i="2"/>
  <c r="E15" i="2"/>
  <c r="D15" i="2"/>
  <c r="F14" i="2"/>
  <c r="F13" i="2"/>
  <c r="F7" i="2"/>
  <c r="F6" i="2"/>
  <c r="F12" i="2"/>
  <c r="F11" i="2"/>
  <c r="F10" i="2"/>
  <c r="F9" i="2"/>
  <c r="F8" i="2"/>
  <c r="F43" i="2" l="1"/>
  <c r="D29" i="2"/>
  <c r="F29" i="2" s="1"/>
  <c r="E29" i="2"/>
  <c r="F15" i="2"/>
  <c r="F8" i="3"/>
  <c r="D27" i="3"/>
  <c r="F27" i="3" s="1"/>
  <c r="D56" i="2"/>
  <c r="F56" i="2" s="1"/>
  <c r="I3" i="4"/>
  <c r="I18" i="4" s="1"/>
  <c r="D57" i="2" l="1"/>
  <c r="D30" i="3"/>
  <c r="F30" i="3" l="1"/>
  <c r="D37" i="3"/>
  <c r="D43" i="3" l="1"/>
  <c r="F43" i="3" s="1"/>
  <c r="F37" i="3"/>
</calcChain>
</file>

<file path=xl/sharedStrings.xml><?xml version="1.0" encoding="utf-8"?>
<sst xmlns="http://schemas.openxmlformats.org/spreadsheetml/2006/main" count="364" uniqueCount="329">
  <si>
    <t>DOSSIER D'AUDITORIA — DADES SINTÈTIQUES</t>
  </si>
  <si>
    <t>NordBrix Solutions, S.L.</t>
  </si>
  <si>
    <t>Sector:</t>
  </si>
  <si>
    <t>Distribució i Comerç de Materials de Construcció Sostenible</t>
  </si>
  <si>
    <t>NIF:</t>
  </si>
  <si>
    <t>B-08319274</t>
  </si>
  <si>
    <t>Domicili social:</t>
  </si>
  <si>
    <t>Carrer de la Indústria, 48, 08025 Barcelona</t>
  </si>
  <si>
    <t>CNAE:</t>
  </si>
  <si>
    <t>4673 – Comerç a l'engròs de fusta, materials de construcció i sanitaris</t>
  </si>
  <si>
    <t>Exercici:</t>
  </si>
  <si>
    <t>Moneda:</t>
  </si>
  <si>
    <t>Euro (€)</t>
  </si>
  <si>
    <t>Auditora designada:</t>
  </si>
  <si>
    <t>[Per completar]</t>
  </si>
  <si>
    <t>Data de tancament:</t>
  </si>
  <si>
    <t>LLEGENDA DE COLORS:</t>
  </si>
  <si>
    <t>⚠ Incidència / Possible error detectat</t>
  </si>
  <si>
    <t>📝 Nota de l'auditor</t>
  </si>
  <si>
    <t>✓ Verificat i conforme</t>
  </si>
  <si>
    <t>Subtotal / Agrupació</t>
  </si>
  <si>
    <t>Fila de dades (zebra)</t>
  </si>
  <si>
    <t>ÍNDEX DE FULLS:</t>
  </si>
  <si>
    <t>1. Balanç de Situació</t>
  </si>
  <si>
    <t>2. Compte de P&amp;G</t>
  </si>
  <si>
    <t>3. Llibre Amortitzacions</t>
  </si>
  <si>
    <t>Detall de l'immobilitzat i les amortitzacions acumulades</t>
  </si>
  <si>
    <t>4. Llibre de Clients</t>
  </si>
  <si>
    <t>Saldos, antiguitat i provisió per insolvències</t>
  </si>
  <si>
    <t>5. Llibre de Proveïdors</t>
  </si>
  <si>
    <t>Saldos, venciments i verificació del termini de pagament</t>
  </si>
  <si>
    <t>6. Conciliació Bancària</t>
  </si>
  <si>
    <t>Conciliació entre extracte bancari i registre comptable</t>
  </si>
  <si>
    <t>⚠ AVÍS: Totes les dades d'aquest dossier són fictícies i han estat generades amb finalitats formatives i demostratives.</t>
  </si>
  <si>
    <t>⚠ NOTA: Les xifres marcades en vermell presenten possibles incidències per revisar durant l'auditoria.</t>
  </si>
  <si>
    <t>Concepte</t>
  </si>
  <si>
    <t>Variació €</t>
  </si>
  <si>
    <t>A C T I U</t>
  </si>
  <si>
    <t>A) ACTIU NO CORRENT</t>
  </si>
  <si>
    <t xml:space="preserve">  210 – Terrenys i construccions</t>
  </si>
  <si>
    <t xml:space="preserve">  211 – Instal·lacions tècniques i maquinària</t>
  </si>
  <si>
    <t xml:space="preserve">  214 – Vehicles</t>
  </si>
  <si>
    <t xml:space="preserve">  217 – Equips informàtics i mobiliari</t>
  </si>
  <si>
    <t xml:space="preserve">  281 – (–) Amortització acumulada immob. mat.</t>
  </si>
  <si>
    <t xml:space="preserve">  200 – Aplicacions informàtiques</t>
  </si>
  <si>
    <t xml:space="preserve">  280 – (–) Amortització acumulada immob. int.</t>
  </si>
  <si>
    <t xml:space="preserve">  2403 – Participacions a llarg termini (filial)</t>
  </si>
  <si>
    <t xml:space="preserve">  252 – Préstecs concedits LP</t>
  </si>
  <si>
    <t xml:space="preserve">  TOTAL ACTIU NO CORRENT</t>
  </si>
  <si>
    <t>B) ACTIU CORRENT</t>
  </si>
  <si>
    <t xml:space="preserve">  300 – Mercaderies (existències)</t>
  </si>
  <si>
    <t xml:space="preserve">  430 – Clients nacionals</t>
  </si>
  <si>
    <t xml:space="preserve">  431 – Clients – efectes comercials a cobrar</t>
  </si>
  <si>
    <t xml:space="preserve">  4309 – (–) Provisió per insolvències</t>
  </si>
  <si>
    <t xml:space="preserve">  440 – Deutors</t>
  </si>
  <si>
    <t xml:space="preserve">  460 – Avan. personal</t>
  </si>
  <si>
    <t xml:space="preserve">  480 – Periodificació activa</t>
  </si>
  <si>
    <t xml:space="preserve">  572 – Bancs i institucions de crèdit</t>
  </si>
  <si>
    <t xml:space="preserve">  570 – Caixa</t>
  </si>
  <si>
    <t xml:space="preserve">  TOTAL ACTIU CORRENT</t>
  </si>
  <si>
    <t>📝 Nota auditor: Provisió insolvències incrementa un 106% — verificar criteri i base càlcul (full 4).</t>
  </si>
  <si>
    <t xml:space="preserve">  TOTAL ACTIU</t>
  </si>
  <si>
    <t>P A S S I U  I  P A T R I M O N I  N E T</t>
  </si>
  <si>
    <t>A) PATRIMONI NET</t>
  </si>
  <si>
    <t xml:space="preserve">  100 – Capital social</t>
  </si>
  <si>
    <t xml:space="preserve">  112 – Reserva legal</t>
  </si>
  <si>
    <t xml:space="preserve">  113 – Reserves voluntàries</t>
  </si>
  <si>
    <t xml:space="preserve">  120 – Resultat de l'exercici</t>
  </si>
  <si>
    <t xml:space="preserve">  TOTAL PATRIMONI NET</t>
  </si>
  <si>
    <t>B) PASSIU NO CORRENT</t>
  </si>
  <si>
    <t xml:space="preserve">  170 – Deutes LP entitats crèdit</t>
  </si>
  <si>
    <t xml:space="preserve">  174 – Deutes LP efectes descomptats</t>
  </si>
  <si>
    <t xml:space="preserve">  142 – Provisió responsabilitat litigis</t>
  </si>
  <si>
    <t xml:space="preserve">  479 – Passiu per impost diferit</t>
  </si>
  <si>
    <t xml:space="preserve">  TOTAL PASSIU NO CORRENT</t>
  </si>
  <si>
    <t>C) PASSIU CORRENT</t>
  </si>
  <si>
    <t xml:space="preserve">  400 – Proveïdors</t>
  </si>
  <si>
    <t xml:space="preserve">  401 – Proveïdors – efectes a pagar</t>
  </si>
  <si>
    <t xml:space="preserve">  410 – Creditors per prestació de serveis</t>
  </si>
  <si>
    <t xml:space="preserve">  520 – Deutes CP entitats de crèdit</t>
  </si>
  <si>
    <t xml:space="preserve">  521 – Deutes CP efectes descomptats</t>
  </si>
  <si>
    <t xml:space="preserve">  475 – Hisenda Pública, creditor per IVA</t>
  </si>
  <si>
    <t xml:space="preserve">  476 – Hisenda Pública, creditor IRPF</t>
  </si>
  <si>
    <t xml:space="preserve">  477 – SS a pagar</t>
  </si>
  <si>
    <t xml:space="preserve">  485 – Periodificació passiva</t>
  </si>
  <si>
    <t xml:space="preserve">  TOTAL PASSIU CORRENT</t>
  </si>
  <si>
    <t>📝 Nota auditor: Saldo compte 475-IVA no concilia amb model 390 anual. Diferència de 1.840 €.</t>
  </si>
  <si>
    <t xml:space="preserve">  TOTAL PASSIU I PATRIMONI NET</t>
  </si>
  <si>
    <t>⚠ VERIFICACIÓ QUADRATURA: Actiu – (Passiu + PN) = ?</t>
  </si>
  <si>
    <t>Ha de ser 0,00 €</t>
  </si>
  <si>
    <t>Exercici 2024</t>
  </si>
  <si>
    <t>% s/Vendes</t>
  </si>
  <si>
    <t>1. INGRESSOS D'EXPLOTACIÓ</t>
  </si>
  <si>
    <t xml:space="preserve">  700 – Vendes de mercaderies (nacionals)</t>
  </si>
  <si>
    <t xml:space="preserve">  701 – Vendes de mercaderies (exportació UE)</t>
  </si>
  <si>
    <t xml:space="preserve">  740 – Subvencions a l'explotació</t>
  </si>
  <si>
    <t xml:space="preserve">  752 – Ingressos per serveis accessoris (transport)</t>
  </si>
  <si>
    <t xml:space="preserve">  TOTAL INGRESSOS EXPLOTACIÓ</t>
  </si>
  <si>
    <t>2. DESPESES D'EXPLOTACIÓ</t>
  </si>
  <si>
    <t xml:space="preserve">  600 – Compres de mercaderies</t>
  </si>
  <si>
    <t xml:space="preserve">  610 – Variació d'existències</t>
  </si>
  <si>
    <t xml:space="preserve">  621 – Arrendaments i cànons</t>
  </si>
  <si>
    <t xml:space="preserve">  622 – Reparacions i conservació</t>
  </si>
  <si>
    <t xml:space="preserve">  623 – Serveis de professionals independents</t>
  </si>
  <si>
    <t xml:space="preserve">  624 – Transport i missatgeria</t>
  </si>
  <si>
    <t xml:space="preserve">  625 – Primes d'assegurança</t>
  </si>
  <si>
    <t xml:space="preserve">  626 – Serveis bancaris i similars</t>
  </si>
  <si>
    <t xml:space="preserve">  627 – Publicitat i màrqueting</t>
  </si>
  <si>
    <t xml:space="preserve">  629 – Altres serveis exteriors</t>
  </si>
  <si>
    <t xml:space="preserve">  640 – Sous i salaris</t>
  </si>
  <si>
    <t xml:space="preserve">  642 – Seguretat Social a càrrec empresa</t>
  </si>
  <si>
    <t xml:space="preserve">  649 – Altres despeses de personal</t>
  </si>
  <si>
    <t xml:space="preserve">  681 – Amortització immobilitzat material</t>
  </si>
  <si>
    <t xml:space="preserve">  680 – Amortització immobilitzat intangible</t>
  </si>
  <si>
    <t xml:space="preserve">  694 – Dotació provisió insolvències</t>
  </si>
  <si>
    <t xml:space="preserve">  650 – Pèrdues per deteriorament exist.</t>
  </si>
  <si>
    <t xml:space="preserve">  TOTAL DESPESES EXPLOTACIÓ</t>
  </si>
  <si>
    <t>📝 Nota: Compte 610 (variació d'existències) presenta signe diferent al de l'exercici anterior. Verificar coherència amb inventari.</t>
  </si>
  <si>
    <t>📝 Nota: Dotació provisió insolvències +190% vs any anterior. Revisar criteris aplicats (full 4).</t>
  </si>
  <si>
    <t xml:space="preserve">  A) RESULTAT D'EXPLOTACIÓ (EBIT)</t>
  </si>
  <si>
    <t>3. RESULTAT FINANCER</t>
  </si>
  <si>
    <t xml:space="preserve">  762 – Ingressos financers (interessos LP)</t>
  </si>
  <si>
    <t xml:space="preserve">  663 – Interessos de deutes LP</t>
  </si>
  <si>
    <t xml:space="preserve">  664 – Interessos deutes CP (pòlissa crèdit)</t>
  </si>
  <si>
    <t xml:space="preserve">  668 – Diferències de canvi (UE)</t>
  </si>
  <si>
    <t xml:space="preserve">  B) RESULTAT FINANCER</t>
  </si>
  <si>
    <t xml:space="preserve">  RESULTAT ABANS D'IMPOSTOS (BAI)</t>
  </si>
  <si>
    <t>4. IMPOST SOBRE SOCIETATS</t>
  </si>
  <si>
    <t xml:space="preserve">  6300 – Impost corrent (25%)</t>
  </si>
  <si>
    <t>📝 Nota: Verificar conciliació resultat comptable - base imposable. Tipus efectiu real: 29,7% vs 25% nominal.</t>
  </si>
  <si>
    <t xml:space="preserve">  6301 – Impost diferit</t>
  </si>
  <si>
    <t xml:space="preserve">  TOTAL IMPOST SOBRE SOCIETATS</t>
  </si>
  <si>
    <t xml:space="preserve">  RESULTAT NET DE L'EXERCICI</t>
  </si>
  <si>
    <t>Descripció actiu</t>
  </si>
  <si>
    <t>Data alta</t>
  </si>
  <si>
    <t>Cost adquisició</t>
  </si>
  <si>
    <t>Vida útil
(anys)</t>
  </si>
  <si>
    <t>Coef.
fiscal</t>
  </si>
  <si>
    <t>Amort.
anual</t>
  </si>
  <si>
    <t>Amort. acum.
31/12/2024</t>
  </si>
  <si>
    <t>Valor net
comptable</t>
  </si>
  <si>
    <t>Observacions</t>
  </si>
  <si>
    <t>Nau industrial – Avda. Vallès</t>
  </si>
  <si>
    <t>01/01/2015</t>
  </si>
  <si>
    <t>2%</t>
  </si>
  <si>
    <t>Carretó elevador Toyota 8FGF25</t>
  </si>
  <si>
    <t>15/03/2019</t>
  </si>
  <si>
    <t>10%</t>
  </si>
  <si>
    <t>Carretó elevador Toyota 8FGF18</t>
  </si>
  <si>
    <t>20/06/2020</t>
  </si>
  <si>
    <t>Instal. energia solar fotovoltaica</t>
  </si>
  <si>
    <t>01/07/2021</t>
  </si>
  <si>
    <t>Instal. rack emmagatzematge</t>
  </si>
  <si>
    <t>10/01/2022</t>
  </si>
  <si>
    <t>12%</t>
  </si>
  <si>
    <t>Instal. sistema anti-incendis</t>
  </si>
  <si>
    <t>01/03/2022</t>
  </si>
  <si>
    <t>Furgoneta Iveco Daily (mat. EC)</t>
  </si>
  <si>
    <t>01/06/2022</t>
  </si>
  <si>
    <t>Furgoneta Iveco Daily (mat. ED)</t>
  </si>
  <si>
    <t>Camió Man TGS (rèting financer)</t>
  </si>
  <si>
    <t>⚠ 1r any — verificar data inici amort.</t>
  </si>
  <si>
    <t>Equips ERP SAP Business One</t>
  </si>
  <si>
    <t>01/01/2022</t>
  </si>
  <si>
    <t>20%</t>
  </si>
  <si>
    <t>Llicències Microsoft 365</t>
  </si>
  <si>
    <t>33%</t>
  </si>
  <si>
    <t>Web corporativa i e-commerce</t>
  </si>
  <si>
    <t>15/06/2022</t>
  </si>
  <si>
    <t>Mobiliari oficines i sala reunions</t>
  </si>
  <si>
    <t>01/03/2020</t>
  </si>
  <si>
    <t>PC i monitors (lot 2022)</t>
  </si>
  <si>
    <t>15/01/2022</t>
  </si>
  <si>
    <t>25%</t>
  </si>
  <si>
    <t>⚠ Vida útil 4 anys — totalment amortitzat a 31/12/2025</t>
  </si>
  <si>
    <t>TOTALS</t>
  </si>
  <si>
    <t>Codi</t>
  </si>
  <si>
    <t>Client</t>
  </si>
  <si>
    <t>Cobrat
postcloenda</t>
  </si>
  <si>
    <t>No vençut
(0-30 d)</t>
  </si>
  <si>
    <t>31-60 dies</t>
  </si>
  <si>
    <t>61-90 dies</t>
  </si>
  <si>
    <t>91-180 dies</t>
  </si>
  <si>
    <t>&gt;180 dies</t>
  </si>
  <si>
    <t>Provisió
insolvència</t>
  </si>
  <si>
    <t>Estat / Observació</t>
  </si>
  <si>
    <t>C001</t>
  </si>
  <si>
    <t>Construccions Vilarroel, S.L.</t>
  </si>
  <si>
    <t>✓ Cobrat postcloenda</t>
  </si>
  <si>
    <t>C002</t>
  </si>
  <si>
    <t>Reformes Garraf, S.C.P.</t>
  </si>
  <si>
    <t>Parcial cobrat</t>
  </si>
  <si>
    <t>C003</t>
  </si>
  <si>
    <t>Arquitecnia Barcelona, S.A.</t>
  </si>
  <si>
    <t>Saldo gran — sol·licitar confirmació</t>
  </si>
  <si>
    <t>C004</t>
  </si>
  <si>
    <t>Obres i Reforma 360, S.L.</t>
  </si>
  <si>
    <t>61-90 dies — risc moderat</t>
  </si>
  <si>
    <t>C005</t>
  </si>
  <si>
    <t>Grup Constructor Ponent, S.A.</t>
  </si>
  <si>
    <t>⚠ 91-180 dies — provisió 20%</t>
  </si>
  <si>
    <t>C006</t>
  </si>
  <si>
    <t>Habitatges Ebre, S.L.</t>
  </si>
  <si>
    <t>⚠ 91-180 dies — en seguiment</t>
  </si>
  <si>
    <t>C007</t>
  </si>
  <si>
    <t>Constructora Pirineus, S.A.</t>
  </si>
  <si>
    <t>C008</t>
  </si>
  <si>
    <t>TechBuild Systems, S.L.</t>
  </si>
  <si>
    <t>⚠ &gt;180 dies — provisió 50%</t>
  </si>
  <si>
    <t>C009</t>
  </si>
  <si>
    <t>Rehabilitació Gòtic, S.L.</t>
  </si>
  <si>
    <t>⚠ &gt;180 dies — possible fallida</t>
  </si>
  <si>
    <t>C010</t>
  </si>
  <si>
    <t>Inversions Diagonal, S.A.</t>
  </si>
  <si>
    <t>No vençut — client AA</t>
  </si>
  <si>
    <t>C011</t>
  </si>
  <si>
    <t>Comerç Materials Lleida, S.L.</t>
  </si>
  <si>
    <t>61-90 dies — primer impagament</t>
  </si>
  <si>
    <t>C012</t>
  </si>
  <si>
    <t>Grup Atenea Construcció, S.A.</t>
  </si>
  <si>
    <t>No vençut — gran compte</t>
  </si>
  <si>
    <t>C013</t>
  </si>
  <si>
    <t>Col·legi Arquitectes Tarragona</t>
  </si>
  <si>
    <t>C014</t>
  </si>
  <si>
    <t>Promotora Besòs 2020, S.L.</t>
  </si>
  <si>
    <t>⚠ &gt;180 dies — concurs de creditors</t>
  </si>
  <si>
    <t>C015</t>
  </si>
  <si>
    <t>Biohabitatge, S.C.P.</t>
  </si>
  <si>
    <t>No vençut</t>
  </si>
  <si>
    <t>TOTAL CLIENTS</t>
  </si>
  <si>
    <t>📝 Provisió total calculada (full):</t>
  </si>
  <si>
    <t>⚠ Provisió comptabilitzada al balanç (compte 4309):</t>
  </si>
  <si>
    <t>Diferència (provisió full – balanç):</t>
  </si>
  <si>
    <t>← Ha de ser 0. Si no, revisar criteri de provisió.</t>
  </si>
  <si>
    <t>📝 Nota: Client C014 (Promotora Besòs) en concurs de creditors — valorar provisió al 100% (18.100 €). Client C009 idem. Risc total no cobert: ~11.750 €.</t>
  </si>
  <si>
    <t>Proveïdor</t>
  </si>
  <si>
    <t>&gt;90 dies</t>
  </si>
  <si>
    <t>TMP dies
(estimat)</t>
  </si>
  <si>
    <t>Compl. Llei
15/2010</t>
  </si>
  <si>
    <t>Observació</t>
  </si>
  <si>
    <t>P001</t>
  </si>
  <si>
    <t>CEYS Materials de Construcció, S.A.</t>
  </si>
  <si>
    <t>✓</t>
  </si>
  <si>
    <t>Pagament puntual</t>
  </si>
  <si>
    <t>P002</t>
  </si>
  <si>
    <t>Hebor Ceràmiques, S.L.</t>
  </si>
  <si>
    <t>Dins termini</t>
  </si>
  <si>
    <t>P003</t>
  </si>
  <si>
    <t>Porcelanosa Grup, S.A.</t>
  </si>
  <si>
    <t>Termini OK</t>
  </si>
  <si>
    <t>P004</t>
  </si>
  <si>
    <t>Saint-Gobain Placo Ibérica, S.A.</t>
  </si>
  <si>
    <t>Correcte</t>
  </si>
  <si>
    <t>P005</t>
  </si>
  <si>
    <t>Knauf Insulation, S.L.</t>
  </si>
  <si>
    <t>⚠</t>
  </si>
  <si>
    <t>⚠ &gt;60 dies — pendent regularitzar</t>
  </si>
  <si>
    <t>P006</t>
  </si>
  <si>
    <t>Isover (filial Saint-Gobain)</t>
  </si>
  <si>
    <t>⚠ &gt;90 dies — possible incompliment Llei 15/2010</t>
  </si>
  <si>
    <t>P007</t>
  </si>
  <si>
    <t>Leroy Merlin España, S.L.U.</t>
  </si>
  <si>
    <t>Pagament anticipat — descompte 2%</t>
  </si>
  <si>
    <t>P008</t>
  </si>
  <si>
    <t>Roca Sanitario, S.A.</t>
  </si>
  <si>
    <t>P009</t>
  </si>
  <si>
    <t>Fersay Electrónica, S.L.</t>
  </si>
  <si>
    <t>P010</t>
  </si>
  <si>
    <t>Transport i Logística Garriga, S.L.</t>
  </si>
  <si>
    <t>Correcte — servei transport</t>
  </si>
  <si>
    <t>P011</t>
  </si>
  <si>
    <t>Würth España, S.A.</t>
  </si>
  <si>
    <t>Pagament al comptat — descompte</t>
  </si>
  <si>
    <t>P012</t>
  </si>
  <si>
    <t>Manteniment Integral Llobregat, S.L.</t>
  </si>
  <si>
    <t>P013</t>
  </si>
  <si>
    <t>BricoDepot Iberia, S.L.</t>
  </si>
  <si>
    <t>P014</t>
  </si>
  <si>
    <t>Ciments Molins Industrial, S.A.</t>
  </si>
  <si>
    <t>P015</t>
  </si>
  <si>
    <t>Comercial Gràcia Materials, S.L.</t>
  </si>
  <si>
    <t>⚠ &gt;60 dies — revisar venciment</t>
  </si>
  <si>
    <t>TOTAL PROVEÏDORS</t>
  </si>
  <si>
    <t>📝 Termini Mig de Pagament (TMP) global estimat:</t>
  </si>
  <si>
    <t>Límit legal: 60 dies (Llei 15/2010)</t>
  </si>
  <si>
    <t>⚠ Proveïdors amb TMP &gt;60 dies (incompliment Llei 15/2010):</t>
  </si>
  <si>
    <t>P006, P005, P015 — Risc sancions i informació en memòria obligatòria</t>
  </si>
  <si>
    <t>📝 Nota: Verificar si la compra a Isover (P006, filial Saint-Gobain P004) constitueix operació vinculada. En cas afirmatiu, cal documentació de preu de transferència i declaració model 232.</t>
  </si>
  <si>
    <t>A) SALDO EXTRACTE BANCARI (font: entitat financera)</t>
  </si>
  <si>
    <t>(+) Xecs emesos no presentats al cobrament</t>
  </si>
  <si>
    <t>Xecs a proveïdors emesos 28-29/12 — pendents de cobrar al banc</t>
  </si>
  <si>
    <t>(+) Dipòsits en trànsit (vendes 30-31/12)</t>
  </si>
  <si>
    <t>Transferències rebudes de clients el 30/12 — no reflectides a extracte</t>
  </si>
  <si>
    <t>(–) Càrrecs bancaris no comptabilitzats</t>
  </si>
  <si>
    <t>⚠ Comissió de manteniment 4T — pendent comptabilitzar</t>
  </si>
  <si>
    <t>Saldo extracte ajustat</t>
  </si>
  <si>
    <t>B) SALDO LLIBRE COMPTABLE (compte 572)</t>
  </si>
  <si>
    <t>(+) Interessos bancaris no registrats</t>
  </si>
  <si>
    <t>⚠ Interessos meritarits a 31/12 — pendents assentament</t>
  </si>
  <si>
    <t>(–) Error registre cobrament C007 (duplicat)</t>
  </si>
  <si>
    <t>⚠ INCIDÈNCIA GREU: Cobrament Constructora Pirineus registrat dues vegades el 22/12</t>
  </si>
  <si>
    <t>(–) Transferència pendent d'identificació</t>
  </si>
  <si>
    <t>⚠ Ingrés de 1.000 € del 29/12 sense referència — pendent classificar</t>
  </si>
  <si>
    <t>Saldo comptable ajustat</t>
  </si>
  <si>
    <t>C) VERIFICACIÓ QUADRATURA</t>
  </si>
  <si>
    <t>Diferència (Extracte ajustat – Comptable ajustat)</t>
  </si>
  <si>
    <t>← Ha de ser 0,00 €</t>
  </si>
  <si>
    <t>📝 Resum incidències conciliació: (1) Comissió bancaria 4T no comptabilitzada (–124,50 €). (2) Interessos no registrats (+187,42 €). (3) GREU: cobrament C007 duplicat (–1.191,64 €) — requereix assentament de rectificació urgent. (4) Ingrés de 1.000 € sense identificar — obtenir confirmació del banc.</t>
  </si>
  <si>
    <t>Exercici Fiscal 2025  |  Cas d'Ús per a Auditoria Interna i Externa</t>
  </si>
  <si>
    <t>1 de gener – 31 de desembre de 2025</t>
  </si>
  <si>
    <t>31 de desembre de 2025</t>
  </si>
  <si>
    <t>Ingressos, despeses i resultat de l'exercici 2025</t>
  </si>
  <si>
    <t>Actiu, Passiu i Patrimoni Net — exercicis 2025 i 2024</t>
  </si>
  <si>
    <t>BALANÇ DE SITUACIÓ — NordBrix Solutions, S.L.
Exercici 2025 (xifres en €)</t>
  </si>
  <si>
    <t>📝 Nota auditor: Verificar quadre amortitzacions (full 3). L'increment 2025 sembla inferior al previst.</t>
  </si>
  <si>
    <t>COMPTE DE PÈRDUES I GUANYS — NordBrix Solutions, S.L.
Exercici 2025 (xifres en €)</t>
  </si>
  <si>
    <t>Exercici 2025</t>
  </si>
  <si>
    <t>LLIBRE AUXILIAR D'AMORTITZACIONS — NordBrix Solutions, S.L. — Exercici 2025</t>
  </si>
  <si>
    <t>Amort. acum.
31/12/2025</t>
  </si>
  <si>
    <t>⚠ Amort. 2025 no comptabilitzada</t>
  </si>
  <si>
    <t>PC i monitors (lot 2025)</t>
  </si>
  <si>
    <t>⚠ Alta 2025 — amortitzar des de setembre</t>
  </si>
  <si>
    <t>📝 Incidències detectades: (1) Instal. anti-incendis: l'amortització 2025 no apareix registrada al compte 681. (2) Camió MAN: verificar data d'inici d'utilització efectiva. (3) PCs lot 2025: verificar si l'import capitalitzat inclou l'IVA no deduïble.</t>
  </si>
  <si>
    <t>LLIBRE AUXILIAR DE CLIENTS (COMPTE 430) — NordBrix Solutions, S.L. — Exercici 2025</t>
  </si>
  <si>
    <t>Saldo total
31/12/2025</t>
  </si>
  <si>
    <t>LLIBRE AUXILIAR DE PROVEÏDORS (COMPTE 400/401) — NordBrix Solutions, S.L. — Exercici 2025</t>
  </si>
  <si>
    <t>CONCILIACIÓ BANCÀRIA — NordBrix Solutions, S.L. — 31/12/2025
Caixa d'Estalvis del Mediterrani (CEM) — Compte corrent **** **** **** 4821</t>
  </si>
  <si>
    <t>Saldo extracte bancari a 31/12/2025</t>
  </si>
  <si>
    <t>Saldo compte 572 a 31/12/2025 (balanç)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</si>
</sst>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€&quot;;[Red]\-#,##0.00&quot; €&quot;;\-"/>
    <numFmt numFmtId="165" formatCode="#,##0.00&quot; €&quot;"/>
    <numFmt numFmtId="166" formatCode="0.0&quot; dies&quot;"/>
  </numFmts>
  <fonts count="29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4"/>
      <color rgb="FFFFFFFF"/>
      <name val="Arial"/>
      <family val="2"/>
    </font>
    <font>
      <i/>
      <sz val="11"/>
      <color rgb="FF1F3864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rgb="FFC0392B"/>
      <name val="Arial"/>
      <family val="2"/>
    </font>
    <font>
      <sz val="10"/>
      <color rgb="FFE67E22"/>
      <name val="Arial"/>
      <family val="2"/>
    </font>
    <font>
      <sz val="10"/>
      <color rgb="FF1E8449"/>
      <name val="Arial"/>
      <family val="2"/>
    </font>
    <font>
      <sz val="10"/>
      <color rgb="FF2E5FA3"/>
      <name val="Arial"/>
      <family val="2"/>
    </font>
    <font>
      <b/>
      <sz val="11"/>
      <color rgb="FF1F3864"/>
      <name val="Arial"/>
      <family val="2"/>
    </font>
    <font>
      <b/>
      <sz val="10"/>
      <color rgb="FF2E5FA3"/>
      <name val="Arial"/>
      <family val="2"/>
    </font>
    <font>
      <i/>
      <sz val="9"/>
      <color rgb="FFE67E22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C0392B"/>
      <name val="Arial"/>
      <family val="2"/>
    </font>
    <font>
      <b/>
      <sz val="9"/>
      <color rgb="FFC0392B"/>
      <name val="Arial"/>
      <family val="2"/>
    </font>
    <font>
      <i/>
      <sz val="10"/>
      <color rgb="FF7F7F7F"/>
      <name val="Arial"/>
      <family val="2"/>
    </font>
    <font>
      <b/>
      <sz val="11"/>
      <color rgb="FF1E8449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E8449"/>
      <name val="Arial"/>
      <family val="2"/>
    </font>
    <font>
      <sz val="9"/>
      <color rgb="FF7F7F7F"/>
      <name val="Arial"/>
      <family val="2"/>
    </font>
    <font>
      <sz val="9"/>
      <color rgb="FFC0392B"/>
      <name val="Arial"/>
      <family val="2"/>
    </font>
    <font>
      <i/>
      <sz val="10"/>
      <color rgb="FFE67E22"/>
      <name val="Arial"/>
      <family val="2"/>
    </font>
    <font>
      <b/>
      <sz val="10"/>
      <color rgb="FF1E8449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C0392B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D5F5E3"/>
      </patternFill>
    </fill>
    <fill>
      <patternFill patternType="solid">
        <fgColor rgb="FFFDECEA"/>
        <bgColor rgb="FFF2F2F2"/>
      </patternFill>
    </fill>
    <fill>
      <patternFill patternType="solid">
        <fgColor rgb="FFFFF3CD"/>
        <bgColor rgb="FFFDECEA"/>
      </patternFill>
    </fill>
    <fill>
      <patternFill patternType="solid">
        <fgColor rgb="FFD5F5E3"/>
        <bgColor rgb="FFD6E4F7"/>
      </patternFill>
    </fill>
    <fill>
      <patternFill patternType="solid">
        <fgColor rgb="FFEEF4FB"/>
        <bgColor rgb="FFF2F2F2"/>
      </patternFill>
    </fill>
    <fill>
      <patternFill patternType="solid">
        <fgColor rgb="FFF2F2F2"/>
        <bgColor rgb="FFEEF4FB"/>
      </patternFill>
    </fill>
    <fill>
      <patternFill patternType="solid">
        <fgColor rgb="FFFFFFFF"/>
        <bgColor rgb="FFEEF4FB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2E5FA3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4" fillId="2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right" vertical="center"/>
    </xf>
    <xf numFmtId="164" fontId="0" fillId="9" borderId="2" xfId="0" applyNumberFormat="1" applyFill="1" applyBorder="1" applyAlignment="1">
      <alignment horizontal="right" vertical="center"/>
    </xf>
    <xf numFmtId="0" fontId="0" fillId="10" borderId="2" xfId="0" applyFill="1" applyBorder="1" applyAlignment="1">
      <alignment horizontal="right" vertical="center"/>
    </xf>
    <xf numFmtId="164" fontId="0" fillId="10" borderId="2" xfId="0" applyNumberForma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right" vertical="center"/>
    </xf>
    <xf numFmtId="164" fontId="0" fillId="5" borderId="2" xfId="0" applyNumberForma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right" vertical="center"/>
    </xf>
    <xf numFmtId="164" fontId="11" fillId="8" borderId="2" xfId="0" applyNumberFormat="1" applyFont="1" applyFill="1" applyBorder="1" applyAlignment="1">
      <alignment horizontal="right" vertical="center"/>
    </xf>
    <xf numFmtId="0" fontId="12" fillId="6" borderId="0" xfId="0" applyFont="1" applyFill="1" applyAlignment="1">
      <alignment horizontal="left" vertical="center" wrapText="1"/>
    </xf>
    <xf numFmtId="0" fontId="14" fillId="2" borderId="2" xfId="0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left" vertical="center" wrapText="1"/>
    </xf>
    <xf numFmtId="164" fontId="15" fillId="5" borderId="0" xfId="0" applyNumberFormat="1" applyFont="1" applyFill="1"/>
    <xf numFmtId="0" fontId="17" fillId="5" borderId="0" xfId="0" applyFont="1" applyFill="1"/>
    <xf numFmtId="10" fontId="0" fillId="10" borderId="2" xfId="0" applyNumberFormat="1" applyFill="1" applyBorder="1" applyAlignment="1">
      <alignment horizontal="right" vertical="center"/>
    </xf>
    <xf numFmtId="10" fontId="0" fillId="9" borderId="2" xfId="0" applyNumberFormat="1" applyFill="1" applyBorder="1" applyAlignment="1">
      <alignment horizontal="right" vertical="center"/>
    </xf>
    <xf numFmtId="10" fontId="11" fillId="8" borderId="2" xfId="0" applyNumberFormat="1" applyFont="1" applyFill="1" applyBorder="1" applyAlignment="1">
      <alignment horizontal="right" vertical="center"/>
    </xf>
    <xf numFmtId="10" fontId="0" fillId="5" borderId="2" xfId="0" applyNumberFormat="1" applyFill="1" applyBorder="1" applyAlignment="1">
      <alignment horizontal="right" vertical="center"/>
    </xf>
    <xf numFmtId="10" fontId="14" fillId="2" borderId="2" xfId="0" applyNumberFormat="1" applyFont="1" applyFill="1" applyBorder="1" applyAlignment="1">
      <alignment horizontal="right" vertical="center"/>
    </xf>
    <xf numFmtId="164" fontId="18" fillId="7" borderId="2" xfId="0" applyNumberFormat="1" applyFont="1" applyFill="1" applyBorder="1" applyAlignment="1">
      <alignment horizontal="right" vertical="center"/>
    </xf>
    <xf numFmtId="0" fontId="20" fillId="2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165" fontId="0" fillId="9" borderId="2" xfId="0" applyNumberFormat="1" applyFill="1" applyBorder="1" applyAlignment="1">
      <alignment horizontal="right" vertical="center"/>
    </xf>
    <xf numFmtId="0" fontId="0" fillId="10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165" fontId="14" fillId="2" borderId="2" xfId="0" applyNumberFormat="1" applyFont="1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right" vertical="center"/>
    </xf>
    <xf numFmtId="0" fontId="21" fillId="7" borderId="2" xfId="0" applyFont="1" applyFill="1" applyBorder="1" applyAlignment="1">
      <alignment horizontal="right" vertical="center"/>
    </xf>
    <xf numFmtId="0" fontId="22" fillId="10" borderId="2" xfId="0" applyFont="1" applyFill="1" applyBorder="1" applyAlignment="1">
      <alignment horizontal="right" vertical="center"/>
    </xf>
    <xf numFmtId="0" fontId="22" fillId="9" borderId="2" xfId="0" applyFont="1" applyFill="1" applyBorder="1" applyAlignment="1">
      <alignment horizontal="right" vertical="center"/>
    </xf>
    <xf numFmtId="0" fontId="0" fillId="5" borderId="2" xfId="0" applyFill="1" applyBorder="1" applyAlignment="1">
      <alignment horizontal="right" vertical="center"/>
    </xf>
    <xf numFmtId="0" fontId="23" fillId="5" borderId="2" xfId="0" applyFont="1" applyFill="1" applyBorder="1" applyAlignment="1">
      <alignment horizontal="right" vertical="center"/>
    </xf>
    <xf numFmtId="165" fontId="0" fillId="0" borderId="0" xfId="0" applyNumberFormat="1"/>
    <xf numFmtId="0" fontId="15" fillId="0" borderId="0" xfId="0" applyFont="1"/>
    <xf numFmtId="165" fontId="15" fillId="0" borderId="0" xfId="0" applyNumberFormat="1" applyFont="1"/>
    <xf numFmtId="0" fontId="24" fillId="0" borderId="0" xfId="0" applyFont="1"/>
    <xf numFmtId="0" fontId="25" fillId="9" borderId="2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66" fontId="0" fillId="0" borderId="0" xfId="0" applyNumberFormat="1"/>
    <xf numFmtId="0" fontId="17" fillId="0" borderId="0" xfId="0" applyFont="1"/>
    <xf numFmtId="164" fontId="26" fillId="10" borderId="2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right" vertical="center"/>
    </xf>
    <xf numFmtId="0" fontId="15" fillId="10" borderId="2" xfId="0" applyFont="1" applyFill="1" applyBorder="1" applyAlignment="1">
      <alignment horizontal="right" vertical="center"/>
    </xf>
    <xf numFmtId="164" fontId="15" fillId="5" borderId="2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right" vertical="center"/>
    </xf>
    <xf numFmtId="0" fontId="27" fillId="0" borderId="0" xfId="0" applyFont="1"/>
    <xf numFmtId="164" fontId="28" fillId="5" borderId="0" xfId="0" applyNumberFormat="1" applyFont="1" applyFill="1"/>
    <xf numFmtId="14" fontId="14" fillId="2" borderId="2" xfId="0" applyNumberFormat="1" applyFon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8" fillId="7" borderId="1" xfId="0" applyFont="1" applyFill="1" applyBorder="1"/>
    <xf numFmtId="0" fontId="9" fillId="8" borderId="1" xfId="0" applyFont="1" applyFill="1" applyBorder="1"/>
    <xf numFmtId="0" fontId="5" fillId="9" borderId="1" xfId="0" applyFont="1" applyFill="1" applyBorder="1"/>
    <xf numFmtId="0" fontId="1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5" borderId="1" xfId="0" applyFont="1" applyFill="1" applyBorder="1"/>
    <xf numFmtId="0" fontId="7" fillId="6" borderId="1" xfId="0" applyFont="1" applyFill="1" applyBorder="1"/>
    <xf numFmtId="0" fontId="14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5" fillId="0" borderId="0" xfId="0" applyFont="1"/>
    <xf numFmtId="0" fontId="19" fillId="2" borderId="0" xfId="0" applyFont="1" applyFill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3CD"/>
      <rgbColor rgb="FFEEF4FB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3"/>
  <sheetViews>
    <sheetView showGridLines="0" tabSelected="1" zoomScaleNormal="100" workbookViewId="0"/>
  </sheetViews>
  <sheetFormatPr baseColWidth="10" defaultColWidth="8.7109375" defaultRowHeight="15" x14ac:dyDescent="0.25"/>
  <cols>
    <col min="1" max="1" width="5" customWidth="1"/>
    <col min="2" max="2" width="50" customWidth="1"/>
    <col min="3" max="3" width="30" customWidth="1"/>
  </cols>
  <sheetData>
    <row r="1" spans="2:3" ht="19.5" customHeight="1" x14ac:dyDescent="0.25"/>
    <row r="2" spans="2:3" ht="60" customHeight="1" x14ac:dyDescent="0.25">
      <c r="B2" s="72" t="s">
        <v>0</v>
      </c>
      <c r="C2" s="72"/>
    </row>
    <row r="3" spans="2:3" ht="30" customHeight="1" x14ac:dyDescent="0.25">
      <c r="B3" s="73" t="s">
        <v>1</v>
      </c>
      <c r="C3" s="73"/>
    </row>
    <row r="4" spans="2:3" ht="24.75" customHeight="1" x14ac:dyDescent="0.25">
      <c r="B4" s="74" t="s">
        <v>308</v>
      </c>
      <c r="C4" s="74"/>
    </row>
    <row r="6" spans="2:3" ht="18" customHeight="1" x14ac:dyDescent="0.25">
      <c r="B6" s="1" t="s">
        <v>2</v>
      </c>
      <c r="C6" s="2" t="s">
        <v>3</v>
      </c>
    </row>
    <row r="7" spans="2:3" ht="18" customHeight="1" x14ac:dyDescent="0.25">
      <c r="B7" s="1" t="s">
        <v>4</v>
      </c>
      <c r="C7" s="2" t="s">
        <v>5</v>
      </c>
    </row>
    <row r="8" spans="2:3" ht="18" customHeight="1" x14ac:dyDescent="0.25">
      <c r="B8" s="1" t="s">
        <v>6</v>
      </c>
      <c r="C8" s="2" t="s">
        <v>7</v>
      </c>
    </row>
    <row r="9" spans="2:3" ht="18" customHeight="1" x14ac:dyDescent="0.25">
      <c r="B9" s="1" t="s">
        <v>8</v>
      </c>
      <c r="C9" s="2" t="s">
        <v>9</v>
      </c>
    </row>
    <row r="10" spans="2:3" ht="18" customHeight="1" x14ac:dyDescent="0.25">
      <c r="B10" s="1" t="s">
        <v>10</v>
      </c>
      <c r="C10" s="2" t="s">
        <v>309</v>
      </c>
    </row>
    <row r="11" spans="2:3" ht="18" customHeight="1" x14ac:dyDescent="0.25">
      <c r="B11" s="1" t="s">
        <v>11</v>
      </c>
      <c r="C11" s="2" t="s">
        <v>12</v>
      </c>
    </row>
    <row r="12" spans="2:3" ht="18" customHeight="1" x14ac:dyDescent="0.25">
      <c r="B12" s="1" t="s">
        <v>13</v>
      </c>
      <c r="C12" s="2" t="s">
        <v>14</v>
      </c>
    </row>
    <row r="13" spans="2:3" ht="18" customHeight="1" x14ac:dyDescent="0.25">
      <c r="B13" s="1" t="s">
        <v>15</v>
      </c>
      <c r="C13" s="2" t="s">
        <v>310</v>
      </c>
    </row>
    <row r="16" spans="2:3" ht="18" customHeight="1" x14ac:dyDescent="0.25">
      <c r="B16" s="1" t="s">
        <v>16</v>
      </c>
    </row>
    <row r="17" spans="2:3" ht="18" customHeight="1" x14ac:dyDescent="0.25">
      <c r="B17" s="75" t="s">
        <v>17</v>
      </c>
      <c r="C17" s="75"/>
    </row>
    <row r="18" spans="2:3" ht="18" customHeight="1" x14ac:dyDescent="0.25">
      <c r="B18" s="76" t="s">
        <v>18</v>
      </c>
      <c r="C18" s="76"/>
    </row>
    <row r="19" spans="2:3" ht="18" customHeight="1" x14ac:dyDescent="0.25">
      <c r="B19" s="68" t="s">
        <v>19</v>
      </c>
      <c r="C19" s="68"/>
    </row>
    <row r="20" spans="2:3" ht="18" customHeight="1" x14ac:dyDescent="0.25">
      <c r="B20" s="69" t="s">
        <v>20</v>
      </c>
      <c r="C20" s="69"/>
    </row>
    <row r="21" spans="2:3" ht="18" customHeight="1" x14ac:dyDescent="0.25">
      <c r="B21" s="70" t="s">
        <v>21</v>
      </c>
      <c r="C21" s="70"/>
    </row>
    <row r="24" spans="2:3" ht="19.5" customHeight="1" x14ac:dyDescent="0.25">
      <c r="B24" s="3" t="s">
        <v>22</v>
      </c>
    </row>
    <row r="25" spans="2:3" ht="18" customHeight="1" x14ac:dyDescent="0.25">
      <c r="B25" s="4" t="s">
        <v>23</v>
      </c>
      <c r="C25" s="2" t="s">
        <v>312</v>
      </c>
    </row>
    <row r="26" spans="2:3" ht="18" customHeight="1" x14ac:dyDescent="0.25">
      <c r="B26" s="4" t="s">
        <v>24</v>
      </c>
      <c r="C26" s="2" t="s">
        <v>311</v>
      </c>
    </row>
    <row r="27" spans="2:3" ht="18" customHeight="1" x14ac:dyDescent="0.25">
      <c r="B27" s="4" t="s">
        <v>25</v>
      </c>
      <c r="C27" s="2" t="s">
        <v>26</v>
      </c>
    </row>
    <row r="28" spans="2:3" ht="18" customHeight="1" x14ac:dyDescent="0.25">
      <c r="B28" s="4" t="s">
        <v>27</v>
      </c>
      <c r="C28" s="2" t="s">
        <v>28</v>
      </c>
    </row>
    <row r="29" spans="2:3" ht="18" customHeight="1" x14ac:dyDescent="0.25">
      <c r="B29" s="4" t="s">
        <v>29</v>
      </c>
      <c r="C29" s="2" t="s">
        <v>30</v>
      </c>
    </row>
    <row r="30" spans="2:3" ht="18" customHeight="1" x14ac:dyDescent="0.25">
      <c r="B30" s="4" t="s">
        <v>31</v>
      </c>
      <c r="C30" s="2" t="s">
        <v>32</v>
      </c>
    </row>
    <row r="33" spans="2:3" ht="21.75" customHeight="1" x14ac:dyDescent="0.25">
      <c r="B33" s="71" t="s">
        <v>33</v>
      </c>
      <c r="C33" s="71"/>
    </row>
  </sheetData>
  <mergeCells count="9">
    <mergeCell ref="B19:C19"/>
    <mergeCell ref="B20:C20"/>
    <mergeCell ref="B21:C21"/>
    <mergeCell ref="B33:C33"/>
    <mergeCell ref="B2:C2"/>
    <mergeCell ref="B3:C3"/>
    <mergeCell ref="B4:C4"/>
    <mergeCell ref="B17:C17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5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7109375" defaultRowHeight="15" x14ac:dyDescent="0.25"/>
  <cols>
    <col min="1" max="1" width="4" customWidth="1"/>
    <col min="2" max="2" width="6" customWidth="1"/>
    <col min="3" max="3" width="45" customWidth="1"/>
    <col min="4" max="6" width="18" customWidth="1"/>
  </cols>
  <sheetData>
    <row r="1" spans="3:6" ht="34.5" customHeight="1" x14ac:dyDescent="0.25">
      <c r="C1" s="79" t="s">
        <v>313</v>
      </c>
      <c r="D1" s="79"/>
      <c r="E1" s="79"/>
      <c r="F1" s="79"/>
    </row>
    <row r="2" spans="3:6" x14ac:dyDescent="0.25">
      <c r="C2" s="80" t="s">
        <v>34</v>
      </c>
      <c r="D2" s="80"/>
      <c r="E2" s="80"/>
      <c r="F2" s="80"/>
    </row>
    <row r="3" spans="3:6" x14ac:dyDescent="0.25">
      <c r="C3" s="5" t="s">
        <v>35</v>
      </c>
      <c r="D3" s="64">
        <v>46022</v>
      </c>
      <c r="E3" s="64">
        <v>45657</v>
      </c>
      <c r="F3" s="5" t="s">
        <v>36</v>
      </c>
    </row>
    <row r="4" spans="3:6" ht="18" customHeight="1" x14ac:dyDescent="0.25">
      <c r="C4" s="77" t="s">
        <v>37</v>
      </c>
      <c r="D4" s="77"/>
      <c r="E4" s="77"/>
      <c r="F4" s="77"/>
    </row>
    <row r="5" spans="3:6" x14ac:dyDescent="0.25">
      <c r="C5" s="78" t="s">
        <v>38</v>
      </c>
      <c r="D5" s="78"/>
      <c r="E5" s="78"/>
      <c r="F5" s="78"/>
    </row>
    <row r="6" spans="3:6" x14ac:dyDescent="0.25">
      <c r="C6" s="8" t="s">
        <v>44</v>
      </c>
      <c r="D6" s="9">
        <v>42000</v>
      </c>
      <c r="E6" s="9">
        <v>42000</v>
      </c>
      <c r="F6" s="9">
        <f>D6-E6</f>
        <v>0</v>
      </c>
    </row>
    <row r="7" spans="3:6" x14ac:dyDescent="0.25">
      <c r="C7" s="6" t="s">
        <v>45</v>
      </c>
      <c r="D7" s="7">
        <v>-28000</v>
      </c>
      <c r="E7" s="7">
        <v>-14000</v>
      </c>
      <c r="F7" s="7">
        <f>D7-E7</f>
        <v>-14000</v>
      </c>
    </row>
    <row r="8" spans="3:6" x14ac:dyDescent="0.25">
      <c r="C8" s="6" t="s">
        <v>39</v>
      </c>
      <c r="D8" s="7">
        <v>185000</v>
      </c>
      <c r="E8" s="7">
        <v>185000</v>
      </c>
      <c r="F8" s="7">
        <f t="shared" ref="F8:F15" si="0">D8-E8</f>
        <v>0</v>
      </c>
    </row>
    <row r="9" spans="3:6" x14ac:dyDescent="0.25">
      <c r="C9" s="8" t="s">
        <v>40</v>
      </c>
      <c r="D9" s="9">
        <v>310500</v>
      </c>
      <c r="E9" s="9">
        <v>278000</v>
      </c>
      <c r="F9" s="9">
        <f t="shared" si="0"/>
        <v>32500</v>
      </c>
    </row>
    <row r="10" spans="3:6" x14ac:dyDescent="0.25">
      <c r="C10" s="6" t="s">
        <v>41</v>
      </c>
      <c r="D10" s="7">
        <v>48200</v>
      </c>
      <c r="E10" s="7">
        <v>64300</v>
      </c>
      <c r="F10" s="7">
        <f t="shared" si="0"/>
        <v>-16100</v>
      </c>
    </row>
    <row r="11" spans="3:6" x14ac:dyDescent="0.25">
      <c r="C11" s="8" t="s">
        <v>42</v>
      </c>
      <c r="D11" s="9">
        <v>31700</v>
      </c>
      <c r="E11" s="9">
        <v>27400</v>
      </c>
      <c r="F11" s="9">
        <f t="shared" si="0"/>
        <v>4300</v>
      </c>
    </row>
    <row r="12" spans="3:6" x14ac:dyDescent="0.25">
      <c r="C12" s="10" t="s">
        <v>43</v>
      </c>
      <c r="D12" s="11">
        <v>-198460</v>
      </c>
      <c r="E12" s="11">
        <v>-164820</v>
      </c>
      <c r="F12" s="11">
        <f t="shared" si="0"/>
        <v>-33640</v>
      </c>
    </row>
    <row r="13" spans="3:6" x14ac:dyDescent="0.25">
      <c r="C13" s="8" t="s">
        <v>46</v>
      </c>
      <c r="D13" s="9">
        <v>150000</v>
      </c>
      <c r="E13" s="9">
        <v>150000</v>
      </c>
      <c r="F13" s="9">
        <f t="shared" si="0"/>
        <v>0</v>
      </c>
    </row>
    <row r="14" spans="3:6" x14ac:dyDescent="0.25">
      <c r="C14" s="6" t="s">
        <v>47</v>
      </c>
      <c r="D14" s="7">
        <v>25000</v>
      </c>
      <c r="E14" s="7">
        <v>25000</v>
      </c>
      <c r="F14" s="7">
        <f t="shared" si="0"/>
        <v>0</v>
      </c>
    </row>
    <row r="15" spans="3:6" x14ac:dyDescent="0.25">
      <c r="C15" s="12" t="s">
        <v>48</v>
      </c>
      <c r="D15" s="13">
        <f>SUM(D8:D14)</f>
        <v>551940</v>
      </c>
      <c r="E15" s="13">
        <f>SUM(E8:E14)</f>
        <v>564880</v>
      </c>
      <c r="F15" s="13">
        <f t="shared" si="0"/>
        <v>-12940</v>
      </c>
    </row>
    <row r="16" spans="3:6" ht="24" x14ac:dyDescent="0.25">
      <c r="C16" s="14" t="s">
        <v>314</v>
      </c>
    </row>
    <row r="17" spans="3:6" x14ac:dyDescent="0.25">
      <c r="C17" s="78" t="s">
        <v>49</v>
      </c>
      <c r="D17" s="78"/>
      <c r="E17" s="78"/>
      <c r="F17" s="78"/>
    </row>
    <row r="18" spans="3:6" x14ac:dyDescent="0.25">
      <c r="C18" s="6" t="s">
        <v>50</v>
      </c>
      <c r="D18" s="7">
        <v>498320</v>
      </c>
      <c r="E18" s="7">
        <v>412800</v>
      </c>
      <c r="F18" s="7">
        <f t="shared" ref="F18:F27" si="1">D18-E18</f>
        <v>85520</v>
      </c>
    </row>
    <row r="19" spans="3:6" x14ac:dyDescent="0.25">
      <c r="C19" s="8" t="s">
        <v>51</v>
      </c>
      <c r="D19" s="9">
        <v>387640</v>
      </c>
      <c r="E19" s="9">
        <v>325100</v>
      </c>
      <c r="F19" s="9">
        <f t="shared" si="1"/>
        <v>62540</v>
      </c>
    </row>
    <row r="20" spans="3:6" x14ac:dyDescent="0.25">
      <c r="C20" s="6" t="s">
        <v>52</v>
      </c>
      <c r="D20" s="7">
        <v>52800</v>
      </c>
      <c r="E20" s="7">
        <v>61300</v>
      </c>
      <c r="F20" s="7">
        <f t="shared" si="1"/>
        <v>-8500</v>
      </c>
    </row>
    <row r="21" spans="3:6" x14ac:dyDescent="0.25">
      <c r="C21" s="10" t="s">
        <v>53</v>
      </c>
      <c r="D21" s="11">
        <v>-38200</v>
      </c>
      <c r="E21" s="11">
        <v>-18500</v>
      </c>
      <c r="F21" s="11">
        <f t="shared" si="1"/>
        <v>-19700</v>
      </c>
    </row>
    <row r="22" spans="3:6" x14ac:dyDescent="0.25">
      <c r="C22" s="6" t="s">
        <v>54</v>
      </c>
      <c r="D22" s="7">
        <v>14700</v>
      </c>
      <c r="E22" s="7">
        <v>11200</v>
      </c>
      <c r="F22" s="7">
        <f t="shared" si="1"/>
        <v>3500</v>
      </c>
    </row>
    <row r="23" spans="3:6" x14ac:dyDescent="0.25">
      <c r="C23" s="8" t="s">
        <v>55</v>
      </c>
      <c r="D23" s="9">
        <v>2100</v>
      </c>
      <c r="E23" s="9">
        <v>1800</v>
      </c>
      <c r="F23" s="9">
        <f t="shared" si="1"/>
        <v>300</v>
      </c>
    </row>
    <row r="24" spans="3:6" x14ac:dyDescent="0.25">
      <c r="C24" s="6" t="s">
        <v>56</v>
      </c>
      <c r="D24" s="7">
        <v>8400</v>
      </c>
      <c r="E24" s="7">
        <v>6700</v>
      </c>
      <c r="F24" s="7">
        <f t="shared" si="1"/>
        <v>1700</v>
      </c>
    </row>
    <row r="25" spans="3:6" x14ac:dyDescent="0.25">
      <c r="C25" s="8" t="s">
        <v>57</v>
      </c>
      <c r="D25" s="9">
        <v>94320</v>
      </c>
      <c r="E25" s="9">
        <v>118640</v>
      </c>
      <c r="F25" s="9">
        <f t="shared" si="1"/>
        <v>-24320</v>
      </c>
    </row>
    <row r="26" spans="3:6" x14ac:dyDescent="0.25">
      <c r="C26" s="6" t="s">
        <v>58</v>
      </c>
      <c r="D26" s="7">
        <v>3850</v>
      </c>
      <c r="E26" s="7">
        <v>4120</v>
      </c>
      <c r="F26" s="7">
        <f t="shared" si="1"/>
        <v>-270</v>
      </c>
    </row>
    <row r="27" spans="3:6" x14ac:dyDescent="0.25">
      <c r="C27" s="12" t="s">
        <v>59</v>
      </c>
      <c r="D27" s="13">
        <f>SUM(D18:D26)</f>
        <v>1023930</v>
      </c>
      <c r="E27" s="13">
        <f>SUM(E18:E26)</f>
        <v>923160</v>
      </c>
      <c r="F27" s="13">
        <f t="shared" si="1"/>
        <v>100770</v>
      </c>
    </row>
    <row r="28" spans="3:6" ht="24" x14ac:dyDescent="0.25">
      <c r="C28" s="14" t="s">
        <v>60</v>
      </c>
    </row>
    <row r="29" spans="3:6" x14ac:dyDescent="0.25">
      <c r="C29" s="15" t="s">
        <v>61</v>
      </c>
      <c r="D29" s="16">
        <f>D15+D27</f>
        <v>1575870</v>
      </c>
      <c r="E29" s="16">
        <f>E15+E27</f>
        <v>1488040</v>
      </c>
      <c r="F29" s="16">
        <f>D29-E29</f>
        <v>87830</v>
      </c>
    </row>
    <row r="31" spans="3:6" ht="18" customHeight="1" x14ac:dyDescent="0.25">
      <c r="C31" s="77" t="s">
        <v>62</v>
      </c>
      <c r="D31" s="77"/>
      <c r="E31" s="77"/>
      <c r="F31" s="77"/>
    </row>
    <row r="32" spans="3:6" x14ac:dyDescent="0.25">
      <c r="C32" s="78" t="s">
        <v>63</v>
      </c>
      <c r="D32" s="78"/>
      <c r="E32" s="78"/>
      <c r="F32" s="78"/>
    </row>
    <row r="33" spans="3:6" x14ac:dyDescent="0.25">
      <c r="C33" s="6" t="s">
        <v>64</v>
      </c>
      <c r="D33" s="7">
        <v>100000</v>
      </c>
      <c r="E33" s="7">
        <v>100000</v>
      </c>
      <c r="F33" s="7">
        <f>D33-E33</f>
        <v>0</v>
      </c>
    </row>
    <row r="34" spans="3:6" x14ac:dyDescent="0.25">
      <c r="C34" s="8" t="s">
        <v>65</v>
      </c>
      <c r="D34" s="9">
        <v>20000</v>
      </c>
      <c r="E34" s="9">
        <v>14500</v>
      </c>
      <c r="F34" s="9">
        <f>D34-E34</f>
        <v>5500</v>
      </c>
    </row>
    <row r="35" spans="3:6" x14ac:dyDescent="0.25">
      <c r="C35" s="6" t="s">
        <v>66</v>
      </c>
      <c r="D35" s="7">
        <v>85300</v>
      </c>
      <c r="E35" s="7">
        <v>61800</v>
      </c>
      <c r="F35" s="7">
        <f>D35-E35</f>
        <v>23500</v>
      </c>
    </row>
    <row r="36" spans="3:6" x14ac:dyDescent="0.25">
      <c r="C36" s="8" t="s">
        <v>67</v>
      </c>
      <c r="D36" s="9">
        <v>67420</v>
      </c>
      <c r="E36" s="9">
        <v>55300</v>
      </c>
      <c r="F36" s="9">
        <f>D36-E36</f>
        <v>12120</v>
      </c>
    </row>
    <row r="37" spans="3:6" x14ac:dyDescent="0.25">
      <c r="C37" s="12" t="s">
        <v>68</v>
      </c>
      <c r="D37" s="13">
        <f>SUM(D33:D36)</f>
        <v>272720</v>
      </c>
      <c r="E37" s="13">
        <f>SUM(E33:E36)</f>
        <v>231600</v>
      </c>
      <c r="F37" s="13">
        <f>D37-E37</f>
        <v>41120</v>
      </c>
    </row>
    <row r="38" spans="3:6" x14ac:dyDescent="0.25">
      <c r="C38" s="78" t="s">
        <v>69</v>
      </c>
      <c r="D38" s="78"/>
      <c r="E38" s="78"/>
      <c r="F38" s="78"/>
    </row>
    <row r="39" spans="3:6" x14ac:dyDescent="0.25">
      <c r="C39" s="6" t="s">
        <v>70</v>
      </c>
      <c r="D39" s="7">
        <v>210000</v>
      </c>
      <c r="E39" s="7">
        <v>250000</v>
      </c>
      <c r="F39" s="7">
        <f>D39-E39</f>
        <v>-40000</v>
      </c>
    </row>
    <row r="40" spans="3:6" x14ac:dyDescent="0.25">
      <c r="C40" s="8" t="s">
        <v>71</v>
      </c>
      <c r="D40" s="9">
        <v>0</v>
      </c>
      <c r="E40" s="9">
        <v>15000</v>
      </c>
      <c r="F40" s="9">
        <f>D40-E40</f>
        <v>-15000</v>
      </c>
    </row>
    <row r="41" spans="3:6" x14ac:dyDescent="0.25">
      <c r="C41" s="6" t="s">
        <v>72</v>
      </c>
      <c r="D41" s="7">
        <v>12000</v>
      </c>
      <c r="E41" s="7">
        <v>8000</v>
      </c>
      <c r="F41" s="7">
        <f>D41-E41</f>
        <v>4000</v>
      </c>
    </row>
    <row r="42" spans="3:6" x14ac:dyDescent="0.25">
      <c r="C42" s="8" t="s">
        <v>73</v>
      </c>
      <c r="D42" s="9">
        <v>9840</v>
      </c>
      <c r="E42" s="9">
        <v>7200</v>
      </c>
      <c r="F42" s="9">
        <f>D42-E42</f>
        <v>2640</v>
      </c>
    </row>
    <row r="43" spans="3:6" x14ac:dyDescent="0.25">
      <c r="C43" s="12" t="s">
        <v>74</v>
      </c>
      <c r="D43" s="13">
        <f>SUM(D39:D42)</f>
        <v>231840</v>
      </c>
      <c r="E43" s="13">
        <f>SUM(E39:E42)</f>
        <v>280200</v>
      </c>
      <c r="F43" s="13">
        <f>D43-E43</f>
        <v>-48360</v>
      </c>
    </row>
    <row r="44" spans="3:6" x14ac:dyDescent="0.25">
      <c r="C44" s="78" t="s">
        <v>75</v>
      </c>
      <c r="D44" s="78"/>
      <c r="E44" s="78"/>
      <c r="F44" s="78"/>
    </row>
    <row r="45" spans="3:6" x14ac:dyDescent="0.25">
      <c r="C45" s="6" t="s">
        <v>76</v>
      </c>
      <c r="D45" s="7">
        <v>312480</v>
      </c>
      <c r="E45" s="7">
        <v>278900</v>
      </c>
      <c r="F45" s="7">
        <f t="shared" ref="F45:F54" si="2">D45-E45</f>
        <v>33580</v>
      </c>
    </row>
    <row r="46" spans="3:6" x14ac:dyDescent="0.25">
      <c r="C46" s="8" t="s">
        <v>77</v>
      </c>
      <c r="D46" s="9">
        <v>43600</v>
      </c>
      <c r="E46" s="9">
        <v>38200</v>
      </c>
      <c r="F46" s="9">
        <f t="shared" si="2"/>
        <v>5400</v>
      </c>
    </row>
    <row r="47" spans="3:6" x14ac:dyDescent="0.25">
      <c r="C47" s="6" t="s">
        <v>78</v>
      </c>
      <c r="D47" s="7">
        <v>28750</v>
      </c>
      <c r="E47" s="7">
        <v>24100</v>
      </c>
      <c r="F47" s="7">
        <f t="shared" si="2"/>
        <v>4650</v>
      </c>
    </row>
    <row r="48" spans="3:6" x14ac:dyDescent="0.25">
      <c r="C48" s="8" t="s">
        <v>79</v>
      </c>
      <c r="D48" s="9">
        <v>95000</v>
      </c>
      <c r="E48" s="9">
        <v>85000</v>
      </c>
      <c r="F48" s="9">
        <f t="shared" si="2"/>
        <v>10000</v>
      </c>
    </row>
    <row r="49" spans="3:6" x14ac:dyDescent="0.25">
      <c r="C49" s="6" t="s">
        <v>80</v>
      </c>
      <c r="D49" s="7">
        <v>18400</v>
      </c>
      <c r="E49" s="7">
        <v>22600</v>
      </c>
      <c r="F49" s="7">
        <f t="shared" si="2"/>
        <v>-4200</v>
      </c>
    </row>
    <row r="50" spans="3:6" x14ac:dyDescent="0.25">
      <c r="C50" s="10" t="s">
        <v>81</v>
      </c>
      <c r="D50" s="11">
        <v>24380</v>
      </c>
      <c r="E50" s="11">
        <v>19750</v>
      </c>
      <c r="F50" s="11">
        <f t="shared" si="2"/>
        <v>4630</v>
      </c>
    </row>
    <row r="51" spans="3:6" x14ac:dyDescent="0.25">
      <c r="C51" s="6" t="s">
        <v>82</v>
      </c>
      <c r="D51" s="7">
        <v>8920</v>
      </c>
      <c r="E51" s="7">
        <v>7840</v>
      </c>
      <c r="F51" s="7">
        <f t="shared" si="2"/>
        <v>1080</v>
      </c>
    </row>
    <row r="52" spans="3:6" x14ac:dyDescent="0.25">
      <c r="C52" s="8" t="s">
        <v>83</v>
      </c>
      <c r="D52" s="9">
        <v>14630</v>
      </c>
      <c r="E52" s="9">
        <v>13200</v>
      </c>
      <c r="F52" s="9">
        <f t="shared" si="2"/>
        <v>1430</v>
      </c>
    </row>
    <row r="53" spans="3:6" x14ac:dyDescent="0.25">
      <c r="C53" s="6" t="s">
        <v>84</v>
      </c>
      <c r="D53" s="7">
        <v>6200</v>
      </c>
      <c r="E53" s="7">
        <v>4800</v>
      </c>
      <c r="F53" s="7">
        <f t="shared" si="2"/>
        <v>1400</v>
      </c>
    </row>
    <row r="54" spans="3:6" x14ac:dyDescent="0.25">
      <c r="C54" s="12" t="s">
        <v>85</v>
      </c>
      <c r="D54" s="13">
        <f>SUM(D45:D53)</f>
        <v>552360</v>
      </c>
      <c r="E54" s="13">
        <f>SUM(E45:E53)</f>
        <v>494390</v>
      </c>
      <c r="F54" s="13">
        <f t="shared" si="2"/>
        <v>57970</v>
      </c>
    </row>
    <row r="55" spans="3:6" ht="24" x14ac:dyDescent="0.25">
      <c r="C55" s="14" t="s">
        <v>86</v>
      </c>
    </row>
    <row r="56" spans="3:6" x14ac:dyDescent="0.25">
      <c r="C56" s="15" t="s">
        <v>87</v>
      </c>
      <c r="D56" s="16">
        <f>D37+D43+D54</f>
        <v>1056920</v>
      </c>
      <c r="E56" s="16">
        <f>E37+E43+E54</f>
        <v>1006190</v>
      </c>
      <c r="F56" s="16">
        <f>D56-E56</f>
        <v>50730</v>
      </c>
    </row>
    <row r="57" spans="3:6" ht="24" x14ac:dyDescent="0.25">
      <c r="C57" s="17" t="s">
        <v>88</v>
      </c>
      <c r="D57" s="18">
        <f>D29-D56</f>
        <v>518950</v>
      </c>
      <c r="E57" s="19" t="s">
        <v>89</v>
      </c>
    </row>
  </sheetData>
  <mergeCells count="9">
    <mergeCell ref="C31:F31"/>
    <mergeCell ref="C32:F32"/>
    <mergeCell ref="C38:F38"/>
    <mergeCell ref="C44:F44"/>
    <mergeCell ref="C1:F1"/>
    <mergeCell ref="C2:F2"/>
    <mergeCell ref="C4:F4"/>
    <mergeCell ref="C5:F5"/>
    <mergeCell ref="C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4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7109375" defaultRowHeight="15" x14ac:dyDescent="0.25"/>
  <cols>
    <col min="1" max="1" width="4" customWidth="1"/>
    <col min="2" max="2" width="6" customWidth="1"/>
    <col min="3" max="3" width="48" customWidth="1"/>
    <col min="4" max="5" width="18" customWidth="1"/>
    <col min="6" max="6" width="12" customWidth="1"/>
  </cols>
  <sheetData>
    <row r="1" spans="3:6" ht="34.5" customHeight="1" x14ac:dyDescent="0.25">
      <c r="C1" s="79" t="s">
        <v>315</v>
      </c>
      <c r="D1" s="79"/>
      <c r="E1" s="79"/>
      <c r="F1" s="79"/>
    </row>
    <row r="2" spans="3:6" x14ac:dyDescent="0.25">
      <c r="C2" s="5" t="s">
        <v>35</v>
      </c>
      <c r="D2" s="5" t="s">
        <v>316</v>
      </c>
      <c r="E2" s="5" t="s">
        <v>90</v>
      </c>
      <c r="F2" s="5" t="s">
        <v>91</v>
      </c>
    </row>
    <row r="3" spans="3:6" x14ac:dyDescent="0.25">
      <c r="C3" s="78" t="s">
        <v>92</v>
      </c>
      <c r="D3" s="78"/>
      <c r="E3" s="78"/>
      <c r="F3" s="78"/>
    </row>
    <row r="4" spans="3:6" x14ac:dyDescent="0.25">
      <c r="C4" s="6" t="s">
        <v>93</v>
      </c>
      <c r="D4" s="7">
        <v>1842300</v>
      </c>
      <c r="E4" s="7">
        <v>1654800</v>
      </c>
      <c r="F4" s="6"/>
    </row>
    <row r="5" spans="3:6" x14ac:dyDescent="0.25">
      <c r="C5" s="8" t="s">
        <v>94</v>
      </c>
      <c r="D5" s="9">
        <v>213400</v>
      </c>
      <c r="E5" s="9">
        <v>187200</v>
      </c>
      <c r="F5" s="20">
        <f>D5/D4</f>
        <v>0.11583346903327363</v>
      </c>
    </row>
    <row r="6" spans="3:6" x14ac:dyDescent="0.25">
      <c r="C6" s="6" t="s">
        <v>95</v>
      </c>
      <c r="D6" s="7">
        <v>12500</v>
      </c>
      <c r="E6" s="7">
        <v>10000</v>
      </c>
      <c r="F6" s="21">
        <f>D6/D4</f>
        <v>6.7849970146013133E-3</v>
      </c>
    </row>
    <row r="7" spans="3:6" x14ac:dyDescent="0.25">
      <c r="C7" s="8" t="s">
        <v>96</v>
      </c>
      <c r="D7" s="9">
        <v>34800</v>
      </c>
      <c r="E7" s="9">
        <v>28600</v>
      </c>
      <c r="F7" s="20">
        <f>D7/D4</f>
        <v>1.8889431688650055E-2</v>
      </c>
    </row>
    <row r="8" spans="3:6" x14ac:dyDescent="0.25">
      <c r="C8" s="12" t="s">
        <v>97</v>
      </c>
      <c r="D8" s="13">
        <f>SUM(D4:D7)</f>
        <v>2103000</v>
      </c>
      <c r="E8" s="13">
        <f>SUM(E4:E7)</f>
        <v>1880600</v>
      </c>
      <c r="F8" s="22">
        <f>D8/D4</f>
        <v>1.1415078977365249</v>
      </c>
    </row>
    <row r="9" spans="3:6" x14ac:dyDescent="0.25">
      <c r="C9" s="78" t="s">
        <v>98</v>
      </c>
      <c r="D9" s="78"/>
      <c r="E9" s="78"/>
      <c r="F9" s="78"/>
    </row>
    <row r="10" spans="3:6" x14ac:dyDescent="0.25">
      <c r="C10" s="6" t="s">
        <v>99</v>
      </c>
      <c r="D10" s="7">
        <v>-1124800</v>
      </c>
      <c r="E10" s="7">
        <v>-987400</v>
      </c>
      <c r="F10" s="21">
        <f>D10/D4</f>
        <v>-0.61054117136188457</v>
      </c>
    </row>
    <row r="11" spans="3:6" x14ac:dyDescent="0.25">
      <c r="C11" s="8" t="s">
        <v>100</v>
      </c>
      <c r="D11" s="9">
        <v>-85520</v>
      </c>
      <c r="E11" s="9">
        <v>32100</v>
      </c>
      <c r="F11" s="20">
        <f>D11/D4</f>
        <v>-4.642023557509635E-2</v>
      </c>
    </row>
    <row r="12" spans="3:6" x14ac:dyDescent="0.25">
      <c r="C12" s="6" t="s">
        <v>101</v>
      </c>
      <c r="D12" s="7">
        <v>-48200</v>
      </c>
      <c r="E12" s="7">
        <v>-45600</v>
      </c>
      <c r="F12" s="21">
        <f>D12/D4</f>
        <v>-2.6162948488302664E-2</v>
      </c>
    </row>
    <row r="13" spans="3:6" x14ac:dyDescent="0.25">
      <c r="C13" s="8" t="s">
        <v>102</v>
      </c>
      <c r="D13" s="9">
        <v>-12400</v>
      </c>
      <c r="E13" s="9">
        <v>-9800</v>
      </c>
      <c r="F13" s="20">
        <f>D13/D4</f>
        <v>-6.7307170384845027E-3</v>
      </c>
    </row>
    <row r="14" spans="3:6" x14ac:dyDescent="0.25">
      <c r="C14" s="6" t="s">
        <v>103</v>
      </c>
      <c r="D14" s="7">
        <v>-38500</v>
      </c>
      <c r="E14" s="7">
        <v>-29700</v>
      </c>
      <c r="F14" s="21">
        <f>D14/D4</f>
        <v>-2.0897790804972047E-2</v>
      </c>
    </row>
    <row r="15" spans="3:6" x14ac:dyDescent="0.25">
      <c r="C15" s="8" t="s">
        <v>104</v>
      </c>
      <c r="D15" s="9">
        <v>-31200</v>
      </c>
      <c r="E15" s="9">
        <v>-27400</v>
      </c>
      <c r="F15" s="20">
        <f>D15/D4</f>
        <v>-1.6935352548444877E-2</v>
      </c>
    </row>
    <row r="16" spans="3:6" x14ac:dyDescent="0.25">
      <c r="C16" s="6" t="s">
        <v>105</v>
      </c>
      <c r="D16" s="7">
        <v>-8400</v>
      </c>
      <c r="E16" s="7">
        <v>-7900</v>
      </c>
      <c r="F16" s="21">
        <f>D16/D4</f>
        <v>-4.5595179938120829E-3</v>
      </c>
    </row>
    <row r="17" spans="3:6" x14ac:dyDescent="0.25">
      <c r="C17" s="8" t="s">
        <v>106</v>
      </c>
      <c r="D17" s="9">
        <v>-4200</v>
      </c>
      <c r="E17" s="9">
        <v>-3800</v>
      </c>
      <c r="F17" s="20">
        <f>D17/D4</f>
        <v>-2.2797589969060414E-3</v>
      </c>
    </row>
    <row r="18" spans="3:6" x14ac:dyDescent="0.25">
      <c r="C18" s="6" t="s">
        <v>107</v>
      </c>
      <c r="D18" s="7">
        <v>-22600</v>
      </c>
      <c r="E18" s="7">
        <v>-18300</v>
      </c>
      <c r="F18" s="21">
        <f>D18/D4</f>
        <v>-1.2267274602399176E-2</v>
      </c>
    </row>
    <row r="19" spans="3:6" x14ac:dyDescent="0.25">
      <c r="C19" s="8" t="s">
        <v>108</v>
      </c>
      <c r="D19" s="9">
        <v>-9800</v>
      </c>
      <c r="E19" s="9">
        <v>-8100</v>
      </c>
      <c r="F19" s="20">
        <f>D19/D4</f>
        <v>-5.3194376594474296E-3</v>
      </c>
    </row>
    <row r="20" spans="3:6" x14ac:dyDescent="0.25">
      <c r="C20" s="6" t="s">
        <v>109</v>
      </c>
      <c r="D20" s="7">
        <v>-198400</v>
      </c>
      <c r="E20" s="7">
        <v>-182600</v>
      </c>
      <c r="F20" s="21">
        <f>D20/D4</f>
        <v>-0.10769147261575204</v>
      </c>
    </row>
    <row r="21" spans="3:6" x14ac:dyDescent="0.25">
      <c r="C21" s="8" t="s">
        <v>110</v>
      </c>
      <c r="D21" s="9">
        <v>-58240</v>
      </c>
      <c r="E21" s="9">
        <v>-53600</v>
      </c>
      <c r="F21" s="20">
        <f>D21/D4</f>
        <v>-3.1612658090430443E-2</v>
      </c>
    </row>
    <row r="22" spans="3:6" x14ac:dyDescent="0.25">
      <c r="C22" s="6" t="s">
        <v>111</v>
      </c>
      <c r="D22" s="7">
        <v>-6800</v>
      </c>
      <c r="E22" s="7">
        <v>-5400</v>
      </c>
      <c r="F22" s="21">
        <f>D22/D4</f>
        <v>-3.6910383759431145E-3</v>
      </c>
    </row>
    <row r="23" spans="3:6" x14ac:dyDescent="0.25">
      <c r="C23" s="8" t="s">
        <v>112</v>
      </c>
      <c r="D23" s="9">
        <v>-33640</v>
      </c>
      <c r="E23" s="9">
        <v>-31200</v>
      </c>
      <c r="F23" s="20">
        <f>D23/D4</f>
        <v>-1.8259783965695057E-2</v>
      </c>
    </row>
    <row r="24" spans="3:6" x14ac:dyDescent="0.25">
      <c r="C24" s="6" t="s">
        <v>113</v>
      </c>
      <c r="D24" s="7">
        <v>-14000</v>
      </c>
      <c r="E24" s="7">
        <v>-14000</v>
      </c>
      <c r="F24" s="21">
        <f>D24/D4</f>
        <v>-7.5991966563534715E-3</v>
      </c>
    </row>
    <row r="25" spans="3:6" x14ac:dyDescent="0.25">
      <c r="C25" s="10" t="s">
        <v>114</v>
      </c>
      <c r="D25" s="11">
        <v>-19700</v>
      </c>
      <c r="E25" s="11">
        <v>-6800</v>
      </c>
      <c r="F25" s="23">
        <f>D25/D4</f>
        <v>-1.0693155295011671E-2</v>
      </c>
    </row>
    <row r="26" spans="3:6" x14ac:dyDescent="0.25">
      <c r="C26" s="6" t="s">
        <v>115</v>
      </c>
      <c r="D26" s="7">
        <v>-4200</v>
      </c>
      <c r="E26" s="7">
        <v>0</v>
      </c>
      <c r="F26" s="21">
        <f>D26/D4</f>
        <v>-2.2797589969060414E-3</v>
      </c>
    </row>
    <row r="27" spans="3:6" x14ac:dyDescent="0.25">
      <c r="C27" s="12" t="s">
        <v>116</v>
      </c>
      <c r="D27" s="13">
        <f>SUM(D6:D26)</f>
        <v>429700</v>
      </c>
      <c r="E27" s="13">
        <f>SUM(E6:E26)</f>
        <v>519700</v>
      </c>
      <c r="F27" s="22">
        <f>D27/D4</f>
        <v>0.23324105737393475</v>
      </c>
    </row>
    <row r="28" spans="3:6" ht="36" x14ac:dyDescent="0.25">
      <c r="C28" s="14" t="s">
        <v>117</v>
      </c>
    </row>
    <row r="29" spans="3:6" ht="24" x14ac:dyDescent="0.25">
      <c r="C29" s="14" t="s">
        <v>118</v>
      </c>
    </row>
    <row r="30" spans="3:6" x14ac:dyDescent="0.25">
      <c r="C30" s="15" t="s">
        <v>119</v>
      </c>
      <c r="D30" s="16">
        <f>D8+D27</f>
        <v>2532700</v>
      </c>
      <c r="E30" s="16">
        <f>E8+E27</f>
        <v>2400300</v>
      </c>
      <c r="F30" s="24">
        <f>D30/D4</f>
        <v>1.3747489551104597</v>
      </c>
    </row>
    <row r="31" spans="3:6" x14ac:dyDescent="0.25">
      <c r="C31" s="78" t="s">
        <v>120</v>
      </c>
      <c r="D31" s="78"/>
      <c r="E31" s="78"/>
      <c r="F31" s="78"/>
    </row>
    <row r="32" spans="3:6" x14ac:dyDescent="0.25">
      <c r="C32" s="6" t="s">
        <v>121</v>
      </c>
      <c r="D32" s="7">
        <v>1200</v>
      </c>
      <c r="E32" s="7">
        <v>1100</v>
      </c>
      <c r="F32" s="21">
        <f>D32/D4</f>
        <v>6.5135971340172616E-4</v>
      </c>
    </row>
    <row r="33" spans="3:6" x14ac:dyDescent="0.25">
      <c r="C33" s="8" t="s">
        <v>122</v>
      </c>
      <c r="D33" s="9">
        <v>-12400</v>
      </c>
      <c r="E33" s="9">
        <v>-14200</v>
      </c>
      <c r="F33" s="20">
        <f>D33/D4</f>
        <v>-6.7307170384845027E-3</v>
      </c>
    </row>
    <row r="34" spans="3:6" x14ac:dyDescent="0.25">
      <c r="C34" s="6" t="s">
        <v>123</v>
      </c>
      <c r="D34" s="7">
        <v>-5800</v>
      </c>
      <c r="E34" s="7">
        <v>-4900</v>
      </c>
      <c r="F34" s="21">
        <f>D34/D4</f>
        <v>-3.1482386147750094E-3</v>
      </c>
    </row>
    <row r="35" spans="3:6" x14ac:dyDescent="0.25">
      <c r="C35" s="8" t="s">
        <v>124</v>
      </c>
      <c r="D35" s="9">
        <v>-820</v>
      </c>
      <c r="E35" s="9">
        <v>340</v>
      </c>
      <c r="F35" s="20">
        <f>D35/D4</f>
        <v>-4.4509580415784617E-4</v>
      </c>
    </row>
    <row r="36" spans="3:6" x14ac:dyDescent="0.25">
      <c r="C36" s="12" t="s">
        <v>125</v>
      </c>
      <c r="D36" s="13">
        <f>SUM(D32:D35)</f>
        <v>-17820</v>
      </c>
      <c r="E36" s="13">
        <f>SUM(E32:E35)</f>
        <v>-17660</v>
      </c>
      <c r="F36" s="22">
        <f>D36/D4</f>
        <v>-9.6726917440156327E-3</v>
      </c>
    </row>
    <row r="37" spans="3:6" x14ac:dyDescent="0.25">
      <c r="C37" s="15" t="s">
        <v>126</v>
      </c>
      <c r="D37" s="16">
        <f>D30+D36</f>
        <v>2514880</v>
      </c>
      <c r="E37" s="16">
        <f>E30+E36</f>
        <v>2382640</v>
      </c>
      <c r="F37" s="24">
        <f>D37/D4</f>
        <v>1.3650762633664442</v>
      </c>
    </row>
    <row r="38" spans="3:6" x14ac:dyDescent="0.25">
      <c r="C38" s="78" t="s">
        <v>127</v>
      </c>
      <c r="D38" s="78"/>
      <c r="E38" s="78"/>
      <c r="F38" s="78"/>
    </row>
    <row r="39" spans="3:6" x14ac:dyDescent="0.25">
      <c r="C39" s="10" t="s">
        <v>128</v>
      </c>
      <c r="D39" s="11">
        <v>-28480</v>
      </c>
      <c r="E39" s="11">
        <v>-22620</v>
      </c>
      <c r="F39" s="23">
        <f>D39/D4</f>
        <v>-1.5458937198067632E-2</v>
      </c>
    </row>
    <row r="40" spans="3:6" ht="24" x14ac:dyDescent="0.25">
      <c r="C40" s="14" t="s">
        <v>129</v>
      </c>
    </row>
    <row r="41" spans="3:6" x14ac:dyDescent="0.25">
      <c r="C41" s="8" t="s">
        <v>130</v>
      </c>
      <c r="D41" s="9">
        <v>-2640</v>
      </c>
      <c r="E41" s="9">
        <v>-1800</v>
      </c>
      <c r="F41" s="20">
        <f>D41/D4</f>
        <v>-1.4329913694837975E-3</v>
      </c>
    </row>
    <row r="42" spans="3:6" x14ac:dyDescent="0.25">
      <c r="C42" s="12" t="s">
        <v>131</v>
      </c>
      <c r="D42" s="13">
        <f>SUM(D39:D41)</f>
        <v>-31120</v>
      </c>
      <c r="E42" s="13">
        <f>SUM(E39:E41)</f>
        <v>-24420</v>
      </c>
      <c r="F42" s="12"/>
    </row>
    <row r="43" spans="3:6" x14ac:dyDescent="0.25">
      <c r="C43" s="15" t="s">
        <v>132</v>
      </c>
      <c r="D43" s="25">
        <f>D37+D42</f>
        <v>2483760</v>
      </c>
      <c r="E43" s="16">
        <f>E37+E42</f>
        <v>2358220</v>
      </c>
      <c r="F43" s="24">
        <f>D43/D4</f>
        <v>1.3481843347988927</v>
      </c>
    </row>
  </sheetData>
  <mergeCells count="5">
    <mergeCell ref="C1:F1"/>
    <mergeCell ref="C3:F3"/>
    <mergeCell ref="C9:F9"/>
    <mergeCell ref="C31:F31"/>
    <mergeCell ref="C38:F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zoomScaleNormal="100" workbookViewId="0">
      <pane ySplit="2" topLeftCell="A3" activePane="bottomLeft" state="frozen"/>
      <selection pane="bottomLeft" activeCell="J8" sqref="J8"/>
    </sheetView>
  </sheetViews>
  <sheetFormatPr baseColWidth="10" defaultColWidth="8.7109375" defaultRowHeight="15" x14ac:dyDescent="0.25"/>
  <cols>
    <col min="1" max="1" width="30" bestFit="1" customWidth="1"/>
    <col min="2" max="2" width="28" customWidth="1"/>
    <col min="3" max="3" width="18" customWidth="1"/>
    <col min="4" max="4" width="12" customWidth="1"/>
    <col min="5" max="5" width="10" customWidth="1"/>
    <col min="6" max="9" width="14" customWidth="1"/>
    <col min="10" max="10" width="45.5703125" bestFit="1" customWidth="1"/>
  </cols>
  <sheetData>
    <row r="1" spans="1:10" ht="27.75" customHeight="1" x14ac:dyDescent="0.25">
      <c r="A1" s="81" t="s">
        <v>317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34.5" customHeight="1" x14ac:dyDescent="0.25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6" t="s">
        <v>139</v>
      </c>
      <c r="H2" s="26" t="s">
        <v>318</v>
      </c>
      <c r="I2" s="26" t="s">
        <v>140</v>
      </c>
      <c r="J2" s="26" t="s">
        <v>141</v>
      </c>
    </row>
    <row r="3" spans="1:10" x14ac:dyDescent="0.25">
      <c r="A3" s="27" t="s">
        <v>142</v>
      </c>
      <c r="B3" s="28" t="s">
        <v>143</v>
      </c>
      <c r="C3" s="29">
        <v>185000</v>
      </c>
      <c r="D3" s="28">
        <v>50</v>
      </c>
      <c r="E3" s="28" t="s">
        <v>144</v>
      </c>
      <c r="F3" s="29">
        <v>3700</v>
      </c>
      <c r="G3" s="29">
        <v>33300</v>
      </c>
      <c r="H3" s="29">
        <f t="shared" ref="H3:H17" si="0">G3+F3</f>
        <v>37000</v>
      </c>
      <c r="I3" s="29">
        <f t="shared" ref="I3:I17" si="1">C3-H3</f>
        <v>148000</v>
      </c>
      <c r="J3" s="6"/>
    </row>
    <row r="4" spans="1:10" x14ac:dyDescent="0.25">
      <c r="A4" s="30" t="s">
        <v>145</v>
      </c>
      <c r="B4" s="31" t="s">
        <v>146</v>
      </c>
      <c r="C4" s="32">
        <v>42800</v>
      </c>
      <c r="D4" s="31">
        <v>10</v>
      </c>
      <c r="E4" s="31" t="s">
        <v>147</v>
      </c>
      <c r="F4" s="32">
        <v>4280</v>
      </c>
      <c r="G4" s="32">
        <v>21400</v>
      </c>
      <c r="H4" s="32">
        <f t="shared" si="0"/>
        <v>25680</v>
      </c>
      <c r="I4" s="32">
        <f t="shared" si="1"/>
        <v>17120</v>
      </c>
      <c r="J4" s="8"/>
    </row>
    <row r="5" spans="1:10" x14ac:dyDescent="0.25">
      <c r="A5" s="27" t="s">
        <v>148</v>
      </c>
      <c r="B5" s="28" t="s">
        <v>149</v>
      </c>
      <c r="C5" s="29">
        <v>38600</v>
      </c>
      <c r="D5" s="28">
        <v>10</v>
      </c>
      <c r="E5" s="28" t="s">
        <v>147</v>
      </c>
      <c r="F5" s="29">
        <v>3860</v>
      </c>
      <c r="G5" s="29">
        <v>15440</v>
      </c>
      <c r="H5" s="29">
        <f t="shared" si="0"/>
        <v>19300</v>
      </c>
      <c r="I5" s="29">
        <f t="shared" si="1"/>
        <v>19300</v>
      </c>
      <c r="J5" s="6"/>
    </row>
    <row r="6" spans="1:10" x14ac:dyDescent="0.25">
      <c r="A6" s="30" t="s">
        <v>150</v>
      </c>
      <c r="B6" s="31" t="s">
        <v>151</v>
      </c>
      <c r="C6" s="32">
        <v>68400</v>
      </c>
      <c r="D6" s="31">
        <v>10</v>
      </c>
      <c r="E6" s="31" t="s">
        <v>147</v>
      </c>
      <c r="F6" s="32">
        <v>6840</v>
      </c>
      <c r="G6" s="32">
        <v>20520</v>
      </c>
      <c r="H6" s="32">
        <f t="shared" si="0"/>
        <v>27360</v>
      </c>
      <c r="I6" s="32">
        <f t="shared" si="1"/>
        <v>41040</v>
      </c>
      <c r="J6" s="8"/>
    </row>
    <row r="7" spans="1:10" x14ac:dyDescent="0.25">
      <c r="A7" s="27" t="s">
        <v>152</v>
      </c>
      <c r="B7" s="28" t="s">
        <v>153</v>
      </c>
      <c r="C7" s="29">
        <v>54200</v>
      </c>
      <c r="D7" s="28">
        <v>8</v>
      </c>
      <c r="E7" s="28" t="s">
        <v>154</v>
      </c>
      <c r="F7" s="29">
        <v>6775</v>
      </c>
      <c r="G7" s="29">
        <v>20325</v>
      </c>
      <c r="H7" s="29">
        <f t="shared" si="0"/>
        <v>27100</v>
      </c>
      <c r="I7" s="29">
        <f t="shared" si="1"/>
        <v>27100</v>
      </c>
      <c r="J7" s="6"/>
    </row>
    <row r="8" spans="1:10" x14ac:dyDescent="0.25">
      <c r="A8" s="33" t="s">
        <v>155</v>
      </c>
      <c r="B8" s="34" t="s">
        <v>156</v>
      </c>
      <c r="C8" s="35">
        <v>28900</v>
      </c>
      <c r="D8" s="34">
        <v>10</v>
      </c>
      <c r="E8" s="34" t="s">
        <v>147</v>
      </c>
      <c r="F8" s="35">
        <v>2890</v>
      </c>
      <c r="G8" s="35">
        <v>7225</v>
      </c>
      <c r="H8" s="35">
        <f t="shared" si="0"/>
        <v>10115</v>
      </c>
      <c r="I8" s="35">
        <f t="shared" si="1"/>
        <v>18785</v>
      </c>
      <c r="J8" s="36" t="s">
        <v>319</v>
      </c>
    </row>
    <row r="9" spans="1:10" x14ac:dyDescent="0.25">
      <c r="A9" s="27" t="s">
        <v>157</v>
      </c>
      <c r="B9" s="28" t="s">
        <v>158</v>
      </c>
      <c r="C9" s="29">
        <v>34200</v>
      </c>
      <c r="D9" s="28">
        <v>8</v>
      </c>
      <c r="E9" s="28" t="s">
        <v>154</v>
      </c>
      <c r="F9" s="29">
        <v>4275</v>
      </c>
      <c r="G9" s="29">
        <v>10688</v>
      </c>
      <c r="H9" s="29">
        <f t="shared" si="0"/>
        <v>14963</v>
      </c>
      <c r="I9" s="29">
        <f t="shared" si="1"/>
        <v>19237</v>
      </c>
      <c r="J9" s="6"/>
    </row>
    <row r="10" spans="1:10" x14ac:dyDescent="0.25">
      <c r="A10" s="30" t="s">
        <v>159</v>
      </c>
      <c r="B10" s="66">
        <v>45550</v>
      </c>
      <c r="C10" s="32">
        <v>32800</v>
      </c>
      <c r="D10" s="31">
        <v>8</v>
      </c>
      <c r="E10" s="31" t="s">
        <v>154</v>
      </c>
      <c r="F10" s="32">
        <v>4100</v>
      </c>
      <c r="G10" s="32">
        <v>1708</v>
      </c>
      <c r="H10" s="32">
        <f t="shared" si="0"/>
        <v>5808</v>
      </c>
      <c r="I10" s="32">
        <f t="shared" si="1"/>
        <v>26992</v>
      </c>
      <c r="J10" s="8"/>
    </row>
    <row r="11" spans="1:10" x14ac:dyDescent="0.25">
      <c r="A11" s="33" t="s">
        <v>160</v>
      </c>
      <c r="B11" s="65">
        <v>45658</v>
      </c>
      <c r="C11" s="35">
        <v>48000</v>
      </c>
      <c r="D11" s="34">
        <v>8</v>
      </c>
      <c r="E11" s="34" t="s">
        <v>154</v>
      </c>
      <c r="F11" s="35">
        <v>6000</v>
      </c>
      <c r="G11" s="35">
        <v>0</v>
      </c>
      <c r="H11" s="35">
        <f t="shared" si="0"/>
        <v>6000</v>
      </c>
      <c r="I11" s="35">
        <f t="shared" si="1"/>
        <v>42000</v>
      </c>
      <c r="J11" s="36" t="s">
        <v>161</v>
      </c>
    </row>
    <row r="12" spans="1:10" x14ac:dyDescent="0.25">
      <c r="A12" s="30" t="s">
        <v>162</v>
      </c>
      <c r="B12" s="31" t="s">
        <v>163</v>
      </c>
      <c r="C12" s="32">
        <v>32000</v>
      </c>
      <c r="D12" s="31">
        <v>5</v>
      </c>
      <c r="E12" s="31" t="s">
        <v>164</v>
      </c>
      <c r="F12" s="32">
        <v>6400</v>
      </c>
      <c r="G12" s="32">
        <v>12800</v>
      </c>
      <c r="H12" s="32">
        <f t="shared" si="0"/>
        <v>19200</v>
      </c>
      <c r="I12" s="32">
        <f t="shared" si="1"/>
        <v>12800</v>
      </c>
      <c r="J12" s="8"/>
    </row>
    <row r="13" spans="1:10" x14ac:dyDescent="0.25">
      <c r="A13" s="27" t="s">
        <v>165</v>
      </c>
      <c r="B13" s="67">
        <v>45292</v>
      </c>
      <c r="C13" s="29">
        <v>10000</v>
      </c>
      <c r="D13" s="28">
        <v>3</v>
      </c>
      <c r="E13" s="28" t="s">
        <v>166</v>
      </c>
      <c r="F13" s="29">
        <v>3333</v>
      </c>
      <c r="G13" s="29">
        <v>3333</v>
      </c>
      <c r="H13" s="29">
        <f t="shared" si="0"/>
        <v>6666</v>
      </c>
      <c r="I13" s="29">
        <f t="shared" si="1"/>
        <v>3334</v>
      </c>
      <c r="J13" s="6"/>
    </row>
    <row r="14" spans="1:10" x14ac:dyDescent="0.25">
      <c r="A14" s="30" t="s">
        <v>167</v>
      </c>
      <c r="B14" s="31" t="s">
        <v>168</v>
      </c>
      <c r="C14" s="32">
        <v>18500</v>
      </c>
      <c r="D14" s="31">
        <v>5</v>
      </c>
      <c r="E14" s="31" t="s">
        <v>164</v>
      </c>
      <c r="F14" s="32">
        <v>3700</v>
      </c>
      <c r="G14" s="32">
        <v>5550</v>
      </c>
      <c r="H14" s="32">
        <f t="shared" si="0"/>
        <v>9250</v>
      </c>
      <c r="I14" s="32">
        <f t="shared" si="1"/>
        <v>9250</v>
      </c>
      <c r="J14" s="8"/>
    </row>
    <row r="15" spans="1:10" x14ac:dyDescent="0.25">
      <c r="A15" s="27" t="s">
        <v>169</v>
      </c>
      <c r="B15" s="28" t="s">
        <v>170</v>
      </c>
      <c r="C15" s="29">
        <v>14800</v>
      </c>
      <c r="D15" s="28">
        <v>10</v>
      </c>
      <c r="E15" s="28" t="s">
        <v>147</v>
      </c>
      <c r="F15" s="29">
        <v>1480</v>
      </c>
      <c r="G15" s="29">
        <v>7400</v>
      </c>
      <c r="H15" s="29">
        <f t="shared" si="0"/>
        <v>8880</v>
      </c>
      <c r="I15" s="29">
        <f t="shared" si="1"/>
        <v>5920</v>
      </c>
      <c r="J15" s="6"/>
    </row>
    <row r="16" spans="1:10" x14ac:dyDescent="0.25">
      <c r="A16" s="33" t="s">
        <v>171</v>
      </c>
      <c r="B16" s="34" t="s">
        <v>172</v>
      </c>
      <c r="C16" s="35">
        <v>8200</v>
      </c>
      <c r="D16" s="34">
        <v>4</v>
      </c>
      <c r="E16" s="34" t="s">
        <v>173</v>
      </c>
      <c r="F16" s="35">
        <v>2050</v>
      </c>
      <c r="G16" s="35">
        <v>6150</v>
      </c>
      <c r="H16" s="35">
        <f t="shared" si="0"/>
        <v>8200</v>
      </c>
      <c r="I16" s="35">
        <f t="shared" si="1"/>
        <v>0</v>
      </c>
      <c r="J16" s="36" t="s">
        <v>174</v>
      </c>
    </row>
    <row r="17" spans="1:10" x14ac:dyDescent="0.25">
      <c r="A17" s="33" t="s">
        <v>320</v>
      </c>
      <c r="B17" s="65">
        <v>45901</v>
      </c>
      <c r="C17" s="35">
        <v>9500</v>
      </c>
      <c r="D17" s="34">
        <v>4</v>
      </c>
      <c r="E17" s="34" t="s">
        <v>173</v>
      </c>
      <c r="F17" s="35">
        <v>989</v>
      </c>
      <c r="G17" s="35">
        <v>0</v>
      </c>
      <c r="H17" s="35">
        <f t="shared" si="0"/>
        <v>989</v>
      </c>
      <c r="I17" s="35">
        <f t="shared" si="1"/>
        <v>8511</v>
      </c>
      <c r="J17" s="36" t="s">
        <v>321</v>
      </c>
    </row>
    <row r="18" spans="1:10" x14ac:dyDescent="0.25">
      <c r="A18" s="37" t="s">
        <v>175</v>
      </c>
      <c r="B18" s="15"/>
      <c r="C18" s="38">
        <f>SUM(C3:C17)</f>
        <v>625900</v>
      </c>
      <c r="D18" s="15"/>
      <c r="E18" s="15"/>
      <c r="F18" s="38">
        <f>SUM(F3:F17)</f>
        <v>60672</v>
      </c>
      <c r="G18" s="38">
        <f>SUM(G3:G17)</f>
        <v>165839</v>
      </c>
      <c r="H18" s="38">
        <f>SUM(H3:H17)</f>
        <v>226511</v>
      </c>
      <c r="I18" s="38">
        <f>SUM(I3:I17)</f>
        <v>399389</v>
      </c>
    </row>
    <row r="20" spans="1:10" ht="39.75" customHeight="1" x14ac:dyDescent="0.25">
      <c r="A20" s="82" t="s">
        <v>322</v>
      </c>
      <c r="B20" s="82"/>
      <c r="C20" s="82"/>
      <c r="D20" s="82"/>
      <c r="E20" s="82"/>
      <c r="F20" s="82"/>
      <c r="G20" s="82"/>
      <c r="H20" s="82"/>
      <c r="I20" s="82"/>
      <c r="J20" s="82"/>
    </row>
  </sheetData>
  <mergeCells count="2">
    <mergeCell ref="A1:J1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K1"/>
    </sheetView>
  </sheetViews>
  <sheetFormatPr baseColWidth="10" defaultColWidth="8.7109375" defaultRowHeight="15" x14ac:dyDescent="0.25"/>
  <cols>
    <col min="1" max="1" width="6" customWidth="1"/>
    <col min="2" max="2" width="30" customWidth="1"/>
    <col min="3" max="4" width="14" customWidth="1"/>
    <col min="5" max="9" width="12" customWidth="1"/>
    <col min="10" max="10" width="14" customWidth="1"/>
    <col min="11" max="11" width="29.5703125" bestFit="1" customWidth="1"/>
  </cols>
  <sheetData>
    <row r="1" spans="1:11" ht="27.75" customHeight="1" x14ac:dyDescent="0.25">
      <c r="A1" s="81" t="s">
        <v>323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39.75" customHeight="1" x14ac:dyDescent="0.25">
      <c r="A2" s="26" t="s">
        <v>176</v>
      </c>
      <c r="B2" s="26" t="s">
        <v>177</v>
      </c>
      <c r="C2" s="26" t="s">
        <v>324</v>
      </c>
      <c r="D2" s="26" t="s">
        <v>178</v>
      </c>
      <c r="E2" s="26" t="s">
        <v>179</v>
      </c>
      <c r="F2" s="26" t="s">
        <v>180</v>
      </c>
      <c r="G2" s="26" t="s">
        <v>181</v>
      </c>
      <c r="H2" s="26" t="s">
        <v>182</v>
      </c>
      <c r="I2" s="26" t="s">
        <v>183</v>
      </c>
      <c r="J2" s="26" t="s">
        <v>184</v>
      </c>
      <c r="K2" s="26" t="s">
        <v>185</v>
      </c>
    </row>
    <row r="3" spans="1:11" x14ac:dyDescent="0.25">
      <c r="A3" s="39" t="s">
        <v>186</v>
      </c>
      <c r="B3" s="40" t="s">
        <v>187</v>
      </c>
      <c r="C3" s="41">
        <v>48200</v>
      </c>
      <c r="D3" s="41">
        <v>48200</v>
      </c>
      <c r="E3" s="41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2" t="s">
        <v>188</v>
      </c>
    </row>
    <row r="4" spans="1:11" x14ac:dyDescent="0.25">
      <c r="A4" s="30" t="s">
        <v>189</v>
      </c>
      <c r="B4" s="8" t="s">
        <v>190</v>
      </c>
      <c r="C4" s="32">
        <v>32400</v>
      </c>
      <c r="D4" s="32">
        <v>15000</v>
      </c>
      <c r="E4" s="32">
        <v>17400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43" t="s">
        <v>191</v>
      </c>
    </row>
    <row r="5" spans="1:11" x14ac:dyDescent="0.25">
      <c r="A5" s="27" t="s">
        <v>192</v>
      </c>
      <c r="B5" s="6" t="s">
        <v>193</v>
      </c>
      <c r="C5" s="29">
        <v>75800</v>
      </c>
      <c r="D5" s="29">
        <v>0</v>
      </c>
      <c r="E5" s="29">
        <v>52300</v>
      </c>
      <c r="F5" s="29">
        <v>23500</v>
      </c>
      <c r="G5" s="29">
        <v>0</v>
      </c>
      <c r="H5" s="29">
        <v>0</v>
      </c>
      <c r="I5" s="29">
        <v>0</v>
      </c>
      <c r="J5" s="29">
        <v>0</v>
      </c>
      <c r="K5" s="44" t="s">
        <v>194</v>
      </c>
    </row>
    <row r="6" spans="1:11" x14ac:dyDescent="0.25">
      <c r="A6" s="30" t="s">
        <v>195</v>
      </c>
      <c r="B6" s="8" t="s">
        <v>196</v>
      </c>
      <c r="C6" s="32">
        <v>18600</v>
      </c>
      <c r="D6" s="32">
        <v>0</v>
      </c>
      <c r="E6" s="32">
        <v>0</v>
      </c>
      <c r="F6" s="32">
        <v>8400</v>
      </c>
      <c r="G6" s="32">
        <v>10200</v>
      </c>
      <c r="H6" s="32">
        <v>0</v>
      </c>
      <c r="I6" s="32">
        <v>0</v>
      </c>
      <c r="J6" s="32">
        <v>0</v>
      </c>
      <c r="K6" s="43" t="s">
        <v>197</v>
      </c>
    </row>
    <row r="7" spans="1:11" x14ac:dyDescent="0.25">
      <c r="A7" s="33" t="s">
        <v>198</v>
      </c>
      <c r="B7" s="45" t="s">
        <v>199</v>
      </c>
      <c r="C7" s="35">
        <v>24500</v>
      </c>
      <c r="D7" s="35">
        <v>0</v>
      </c>
      <c r="E7" s="35">
        <v>0</v>
      </c>
      <c r="F7" s="35">
        <v>0</v>
      </c>
      <c r="G7" s="35">
        <v>0</v>
      </c>
      <c r="H7" s="35">
        <v>24500</v>
      </c>
      <c r="I7" s="35">
        <v>0</v>
      </c>
      <c r="J7" s="35">
        <v>4900</v>
      </c>
      <c r="K7" s="46" t="s">
        <v>200</v>
      </c>
    </row>
    <row r="8" spans="1:11" x14ac:dyDescent="0.25">
      <c r="A8" s="33" t="s">
        <v>201</v>
      </c>
      <c r="B8" s="45" t="s">
        <v>202</v>
      </c>
      <c r="C8" s="35">
        <v>9800</v>
      </c>
      <c r="D8" s="35">
        <v>0</v>
      </c>
      <c r="E8" s="35">
        <v>0</v>
      </c>
      <c r="F8" s="35">
        <v>0</v>
      </c>
      <c r="G8" s="35">
        <v>0</v>
      </c>
      <c r="H8" s="35">
        <v>9800</v>
      </c>
      <c r="I8" s="35">
        <v>0</v>
      </c>
      <c r="J8" s="35">
        <v>1960</v>
      </c>
      <c r="K8" s="46" t="s">
        <v>203</v>
      </c>
    </row>
    <row r="9" spans="1:11" x14ac:dyDescent="0.25">
      <c r="A9" s="39" t="s">
        <v>204</v>
      </c>
      <c r="B9" s="40" t="s">
        <v>205</v>
      </c>
      <c r="C9" s="41">
        <v>52100</v>
      </c>
      <c r="D9" s="41">
        <v>52100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2" t="s">
        <v>188</v>
      </c>
    </row>
    <row r="10" spans="1:11" x14ac:dyDescent="0.25">
      <c r="A10" s="33" t="s">
        <v>206</v>
      </c>
      <c r="B10" s="45" t="s">
        <v>207</v>
      </c>
      <c r="C10" s="35">
        <v>15300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15300</v>
      </c>
      <c r="J10" s="35">
        <v>7650</v>
      </c>
      <c r="K10" s="46" t="s">
        <v>208</v>
      </c>
    </row>
    <row r="11" spans="1:11" x14ac:dyDescent="0.25">
      <c r="A11" s="33" t="s">
        <v>209</v>
      </c>
      <c r="B11" s="45" t="s">
        <v>210</v>
      </c>
      <c r="C11" s="35">
        <v>11200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11200</v>
      </c>
      <c r="J11" s="35">
        <v>5600</v>
      </c>
      <c r="K11" s="46" t="s">
        <v>211</v>
      </c>
    </row>
    <row r="12" spans="1:11" x14ac:dyDescent="0.25">
      <c r="A12" s="30" t="s">
        <v>212</v>
      </c>
      <c r="B12" s="8" t="s">
        <v>213</v>
      </c>
      <c r="C12" s="32">
        <v>38900</v>
      </c>
      <c r="D12" s="32">
        <v>0</v>
      </c>
      <c r="E12" s="32">
        <v>38900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43" t="s">
        <v>214</v>
      </c>
    </row>
    <row r="13" spans="1:11" x14ac:dyDescent="0.25">
      <c r="A13" s="27" t="s">
        <v>215</v>
      </c>
      <c r="B13" s="6" t="s">
        <v>216</v>
      </c>
      <c r="C13" s="29">
        <v>7840</v>
      </c>
      <c r="D13" s="29">
        <v>0</v>
      </c>
      <c r="E13" s="29">
        <v>0</v>
      </c>
      <c r="F13" s="29">
        <v>0</v>
      </c>
      <c r="G13" s="29">
        <v>7840</v>
      </c>
      <c r="H13" s="29">
        <v>0</v>
      </c>
      <c r="I13" s="29">
        <v>0</v>
      </c>
      <c r="J13" s="29">
        <v>0</v>
      </c>
      <c r="K13" s="44" t="s">
        <v>217</v>
      </c>
    </row>
    <row r="14" spans="1:11" x14ac:dyDescent="0.25">
      <c r="A14" s="30" t="s">
        <v>218</v>
      </c>
      <c r="B14" s="8" t="s">
        <v>219</v>
      </c>
      <c r="C14" s="32">
        <v>22000</v>
      </c>
      <c r="D14" s="32">
        <v>0</v>
      </c>
      <c r="E14" s="32">
        <v>0</v>
      </c>
      <c r="F14" s="32">
        <v>22000</v>
      </c>
      <c r="G14" s="32">
        <v>0</v>
      </c>
      <c r="H14" s="32">
        <v>0</v>
      </c>
      <c r="I14" s="32">
        <v>0</v>
      </c>
      <c r="J14" s="32">
        <v>0</v>
      </c>
      <c r="K14" s="43" t="s">
        <v>220</v>
      </c>
    </row>
    <row r="15" spans="1:11" x14ac:dyDescent="0.25">
      <c r="A15" s="39" t="s">
        <v>221</v>
      </c>
      <c r="B15" s="40" t="s">
        <v>222</v>
      </c>
      <c r="C15" s="41">
        <v>4200</v>
      </c>
      <c r="D15" s="41">
        <v>4200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2" t="s">
        <v>188</v>
      </c>
    </row>
    <row r="16" spans="1:11" x14ac:dyDescent="0.25">
      <c r="A16" s="33" t="s">
        <v>223</v>
      </c>
      <c r="B16" s="45" t="s">
        <v>224</v>
      </c>
      <c r="C16" s="35">
        <v>18100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18100</v>
      </c>
      <c r="J16" s="35">
        <v>18100</v>
      </c>
      <c r="K16" s="46" t="s">
        <v>225</v>
      </c>
    </row>
    <row r="17" spans="1:11" x14ac:dyDescent="0.25">
      <c r="A17" s="27" t="s">
        <v>226</v>
      </c>
      <c r="B17" s="6" t="s">
        <v>227</v>
      </c>
      <c r="C17" s="29">
        <v>9000</v>
      </c>
      <c r="D17" s="29">
        <v>0</v>
      </c>
      <c r="E17" s="29">
        <v>9000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44" t="s">
        <v>228</v>
      </c>
    </row>
    <row r="18" spans="1:11" x14ac:dyDescent="0.25">
      <c r="A18" s="37"/>
      <c r="B18" s="15" t="s">
        <v>229</v>
      </c>
      <c r="C18" s="38">
        <f t="shared" ref="C18:J18" si="0">SUM(C3:C17)</f>
        <v>387940</v>
      </c>
      <c r="D18" s="38">
        <f t="shared" si="0"/>
        <v>119500</v>
      </c>
      <c r="E18" s="38">
        <f t="shared" si="0"/>
        <v>117600</v>
      </c>
      <c r="F18" s="38">
        <f t="shared" si="0"/>
        <v>53900</v>
      </c>
      <c r="G18" s="38">
        <f t="shared" si="0"/>
        <v>18040</v>
      </c>
      <c r="H18" s="38">
        <f t="shared" si="0"/>
        <v>34300</v>
      </c>
      <c r="I18" s="38">
        <f t="shared" si="0"/>
        <v>44600</v>
      </c>
      <c r="J18" s="38">
        <f t="shared" si="0"/>
        <v>38210</v>
      </c>
    </row>
    <row r="20" spans="1:11" ht="15" customHeight="1" x14ac:dyDescent="0.25">
      <c r="A20" s="82" t="s">
        <v>230</v>
      </c>
      <c r="B20" s="82"/>
      <c r="C20" s="82"/>
      <c r="D20" s="47">
        <f>J18</f>
        <v>38210</v>
      </c>
    </row>
    <row r="21" spans="1:11" ht="15" customHeight="1" x14ac:dyDescent="0.25">
      <c r="A21" s="83" t="s">
        <v>231</v>
      </c>
      <c r="B21" s="83"/>
      <c r="C21" s="83"/>
      <c r="D21" s="47">
        <v>38200</v>
      </c>
    </row>
    <row r="22" spans="1:11" x14ac:dyDescent="0.25">
      <c r="B22" s="48" t="s">
        <v>232</v>
      </c>
      <c r="D22" s="49">
        <f>D20-D21</f>
        <v>10</v>
      </c>
      <c r="E22" s="50" t="s">
        <v>233</v>
      </c>
    </row>
    <row r="24" spans="1:11" ht="39.75" customHeight="1" x14ac:dyDescent="0.25">
      <c r="A24" s="82" t="s">
        <v>234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</row>
  </sheetData>
  <mergeCells count="4">
    <mergeCell ref="A1:K1"/>
    <mergeCell ref="A20:C20"/>
    <mergeCell ref="A21:C21"/>
    <mergeCell ref="A24:K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baseColWidth="10" defaultColWidth="8.7109375" defaultRowHeight="15" x14ac:dyDescent="0.25"/>
  <cols>
    <col min="1" max="1" width="6" customWidth="1"/>
    <col min="2" max="2" width="30" customWidth="1"/>
    <col min="3" max="3" width="14" customWidth="1"/>
    <col min="4" max="9" width="12" customWidth="1"/>
    <col min="10" max="10" width="41" bestFit="1" customWidth="1"/>
  </cols>
  <sheetData>
    <row r="1" spans="1:10" ht="27.75" customHeight="1" x14ac:dyDescent="0.25">
      <c r="A1" s="81" t="s">
        <v>325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39.75" customHeight="1" x14ac:dyDescent="0.25">
      <c r="A2" s="26" t="s">
        <v>176</v>
      </c>
      <c r="B2" s="26" t="s">
        <v>235</v>
      </c>
      <c r="C2" s="26" t="s">
        <v>324</v>
      </c>
      <c r="D2" s="26" t="s">
        <v>179</v>
      </c>
      <c r="E2" s="26" t="s">
        <v>180</v>
      </c>
      <c r="F2" s="26" t="s">
        <v>181</v>
      </c>
      <c r="G2" s="26" t="s">
        <v>236</v>
      </c>
      <c r="H2" s="26" t="s">
        <v>237</v>
      </c>
      <c r="I2" s="26" t="s">
        <v>238</v>
      </c>
      <c r="J2" s="26" t="s">
        <v>239</v>
      </c>
    </row>
    <row r="3" spans="1:10" x14ac:dyDescent="0.25">
      <c r="A3" s="27" t="s">
        <v>240</v>
      </c>
      <c r="B3" s="6" t="s">
        <v>241</v>
      </c>
      <c r="C3" s="29">
        <v>68400</v>
      </c>
      <c r="D3" s="29">
        <v>42300</v>
      </c>
      <c r="E3" s="29">
        <v>18200</v>
      </c>
      <c r="F3" s="29">
        <v>7900</v>
      </c>
      <c r="G3" s="29">
        <v>0</v>
      </c>
      <c r="H3" s="28">
        <v>38</v>
      </c>
      <c r="I3" s="51" t="s">
        <v>242</v>
      </c>
      <c r="J3" s="44" t="s">
        <v>243</v>
      </c>
    </row>
    <row r="4" spans="1:10" x14ac:dyDescent="0.25">
      <c r="A4" s="30" t="s">
        <v>244</v>
      </c>
      <c r="B4" s="8" t="s">
        <v>245</v>
      </c>
      <c r="C4" s="32">
        <v>32800</v>
      </c>
      <c r="D4" s="32">
        <v>32800</v>
      </c>
      <c r="E4" s="32">
        <v>0</v>
      </c>
      <c r="F4" s="32">
        <v>0</v>
      </c>
      <c r="G4" s="32">
        <v>0</v>
      </c>
      <c r="H4" s="31">
        <v>22</v>
      </c>
      <c r="I4" s="52" t="s">
        <v>242</v>
      </c>
      <c r="J4" s="43" t="s">
        <v>246</v>
      </c>
    </row>
    <row r="5" spans="1:10" x14ac:dyDescent="0.25">
      <c r="A5" s="27" t="s">
        <v>247</v>
      </c>
      <c r="B5" s="6" t="s">
        <v>248</v>
      </c>
      <c r="C5" s="29">
        <v>48200</v>
      </c>
      <c r="D5" s="29">
        <v>28400</v>
      </c>
      <c r="E5" s="29">
        <v>19800</v>
      </c>
      <c r="F5" s="29">
        <v>0</v>
      </c>
      <c r="G5" s="29">
        <v>0</v>
      </c>
      <c r="H5" s="28">
        <v>35</v>
      </c>
      <c r="I5" s="51" t="s">
        <v>242</v>
      </c>
      <c r="J5" s="44" t="s">
        <v>249</v>
      </c>
    </row>
    <row r="6" spans="1:10" x14ac:dyDescent="0.25">
      <c r="A6" s="30" t="s">
        <v>250</v>
      </c>
      <c r="B6" s="8" t="s">
        <v>251</v>
      </c>
      <c r="C6" s="32">
        <v>55600</v>
      </c>
      <c r="D6" s="32">
        <v>20000</v>
      </c>
      <c r="E6" s="32">
        <v>15800</v>
      </c>
      <c r="F6" s="32">
        <v>19800</v>
      </c>
      <c r="G6" s="32">
        <v>0</v>
      </c>
      <c r="H6" s="31">
        <v>52</v>
      </c>
      <c r="I6" s="52" t="s">
        <v>242</v>
      </c>
      <c r="J6" s="43" t="s">
        <v>252</v>
      </c>
    </row>
    <row r="7" spans="1:10" x14ac:dyDescent="0.25">
      <c r="A7" s="33" t="s">
        <v>253</v>
      </c>
      <c r="B7" s="45" t="s">
        <v>254</v>
      </c>
      <c r="C7" s="35">
        <v>18300</v>
      </c>
      <c r="D7" s="35">
        <v>0</v>
      </c>
      <c r="E7" s="35">
        <v>0</v>
      </c>
      <c r="F7" s="35">
        <v>18300</v>
      </c>
      <c r="G7" s="35">
        <v>0</v>
      </c>
      <c r="H7" s="34">
        <v>78</v>
      </c>
      <c r="I7" s="53" t="s">
        <v>255</v>
      </c>
      <c r="J7" s="46" t="s">
        <v>256</v>
      </c>
    </row>
    <row r="8" spans="1:10" x14ac:dyDescent="0.25">
      <c r="A8" s="33" t="s">
        <v>257</v>
      </c>
      <c r="B8" s="45" t="s">
        <v>258</v>
      </c>
      <c r="C8" s="35">
        <v>24100</v>
      </c>
      <c r="D8" s="35">
        <v>0</v>
      </c>
      <c r="E8" s="35">
        <v>0</v>
      </c>
      <c r="F8" s="35">
        <v>0</v>
      </c>
      <c r="G8" s="35">
        <v>24100</v>
      </c>
      <c r="H8" s="34">
        <v>112</v>
      </c>
      <c r="I8" s="53" t="s">
        <v>255</v>
      </c>
      <c r="J8" s="46" t="s">
        <v>259</v>
      </c>
    </row>
    <row r="9" spans="1:10" x14ac:dyDescent="0.25">
      <c r="A9" s="27" t="s">
        <v>260</v>
      </c>
      <c r="B9" s="6" t="s">
        <v>261</v>
      </c>
      <c r="C9" s="29">
        <v>11480</v>
      </c>
      <c r="D9" s="29">
        <v>11480</v>
      </c>
      <c r="E9" s="29">
        <v>0</v>
      </c>
      <c r="F9" s="29">
        <v>0</v>
      </c>
      <c r="G9" s="29">
        <v>0</v>
      </c>
      <c r="H9" s="28">
        <v>15</v>
      </c>
      <c r="I9" s="51" t="s">
        <v>242</v>
      </c>
      <c r="J9" s="44" t="s">
        <v>262</v>
      </c>
    </row>
    <row r="10" spans="1:10" x14ac:dyDescent="0.25">
      <c r="A10" s="30" t="s">
        <v>263</v>
      </c>
      <c r="B10" s="8" t="s">
        <v>264</v>
      </c>
      <c r="C10" s="32">
        <v>29700</v>
      </c>
      <c r="D10" s="32">
        <v>14200</v>
      </c>
      <c r="E10" s="32">
        <v>15500</v>
      </c>
      <c r="F10" s="32">
        <v>0</v>
      </c>
      <c r="G10" s="32">
        <v>0</v>
      </c>
      <c r="H10" s="31">
        <v>42</v>
      </c>
      <c r="I10" s="52" t="s">
        <v>242</v>
      </c>
      <c r="J10" s="43" t="s">
        <v>252</v>
      </c>
    </row>
    <row r="11" spans="1:10" x14ac:dyDescent="0.25">
      <c r="A11" s="27" t="s">
        <v>265</v>
      </c>
      <c r="B11" s="6" t="s">
        <v>266</v>
      </c>
      <c r="C11" s="29">
        <v>8200</v>
      </c>
      <c r="D11" s="29">
        <v>8200</v>
      </c>
      <c r="E11" s="29">
        <v>0</v>
      </c>
      <c r="F11" s="29">
        <v>0</v>
      </c>
      <c r="G11" s="29">
        <v>0</v>
      </c>
      <c r="H11" s="28">
        <v>12</v>
      </c>
      <c r="I11" s="51" t="s">
        <v>242</v>
      </c>
      <c r="J11" s="44" t="s">
        <v>246</v>
      </c>
    </row>
    <row r="12" spans="1:10" x14ac:dyDescent="0.25">
      <c r="A12" s="30" t="s">
        <v>267</v>
      </c>
      <c r="B12" s="8" t="s">
        <v>268</v>
      </c>
      <c r="C12" s="32">
        <v>14900</v>
      </c>
      <c r="D12" s="32">
        <v>0</v>
      </c>
      <c r="E12" s="32">
        <v>14900</v>
      </c>
      <c r="F12" s="32">
        <v>0</v>
      </c>
      <c r="G12" s="32">
        <v>0</v>
      </c>
      <c r="H12" s="31">
        <v>55</v>
      </c>
      <c r="I12" s="52" t="s">
        <v>242</v>
      </c>
      <c r="J12" s="43" t="s">
        <v>269</v>
      </c>
    </row>
    <row r="13" spans="1:10" x14ac:dyDescent="0.25">
      <c r="A13" s="27" t="s">
        <v>270</v>
      </c>
      <c r="B13" s="6" t="s">
        <v>271</v>
      </c>
      <c r="C13" s="29">
        <v>12600</v>
      </c>
      <c r="D13" s="29">
        <v>12600</v>
      </c>
      <c r="E13" s="29">
        <v>0</v>
      </c>
      <c r="F13" s="29">
        <v>0</v>
      </c>
      <c r="G13" s="29">
        <v>0</v>
      </c>
      <c r="H13" s="28">
        <v>10</v>
      </c>
      <c r="I13" s="51" t="s">
        <v>242</v>
      </c>
      <c r="J13" s="44" t="s">
        <v>272</v>
      </c>
    </row>
    <row r="14" spans="1:10" x14ac:dyDescent="0.25">
      <c r="A14" s="30" t="s">
        <v>273</v>
      </c>
      <c r="B14" s="8" t="s">
        <v>274</v>
      </c>
      <c r="C14" s="32">
        <v>9800</v>
      </c>
      <c r="D14" s="32">
        <v>0</v>
      </c>
      <c r="E14" s="32">
        <v>9800</v>
      </c>
      <c r="F14" s="32">
        <v>0</v>
      </c>
      <c r="G14" s="32">
        <v>0</v>
      </c>
      <c r="H14" s="31">
        <v>48</v>
      </c>
      <c r="I14" s="52" t="s">
        <v>242</v>
      </c>
      <c r="J14" s="43" t="s">
        <v>246</v>
      </c>
    </row>
    <row r="15" spans="1:10" x14ac:dyDescent="0.25">
      <c r="A15" s="27" t="s">
        <v>275</v>
      </c>
      <c r="B15" s="6" t="s">
        <v>276</v>
      </c>
      <c r="C15" s="29">
        <v>6900</v>
      </c>
      <c r="D15" s="29">
        <v>6900</v>
      </c>
      <c r="E15" s="29">
        <v>0</v>
      </c>
      <c r="F15" s="29">
        <v>0</v>
      </c>
      <c r="G15" s="29">
        <v>0</v>
      </c>
      <c r="H15" s="28">
        <v>18</v>
      </c>
      <c r="I15" s="51" t="s">
        <v>242</v>
      </c>
      <c r="J15" s="44" t="s">
        <v>252</v>
      </c>
    </row>
    <row r="16" spans="1:10" x14ac:dyDescent="0.25">
      <c r="A16" s="30" t="s">
        <v>277</v>
      </c>
      <c r="B16" s="8" t="s">
        <v>278</v>
      </c>
      <c r="C16" s="32">
        <v>38500</v>
      </c>
      <c r="D16" s="32">
        <v>15600</v>
      </c>
      <c r="E16" s="32">
        <v>22900</v>
      </c>
      <c r="F16" s="32">
        <v>0</v>
      </c>
      <c r="G16" s="32">
        <v>0</v>
      </c>
      <c r="H16" s="31">
        <v>32</v>
      </c>
      <c r="I16" s="52" t="s">
        <v>242</v>
      </c>
      <c r="J16" s="43" t="s">
        <v>252</v>
      </c>
    </row>
    <row r="17" spans="1:10" x14ac:dyDescent="0.25">
      <c r="A17" s="33" t="s">
        <v>279</v>
      </c>
      <c r="B17" s="45" t="s">
        <v>280</v>
      </c>
      <c r="C17" s="35">
        <v>7500</v>
      </c>
      <c r="D17" s="35">
        <v>0</v>
      </c>
      <c r="E17" s="35">
        <v>0</v>
      </c>
      <c r="F17" s="35">
        <v>7500</v>
      </c>
      <c r="G17" s="35">
        <v>0</v>
      </c>
      <c r="H17" s="34">
        <v>85</v>
      </c>
      <c r="I17" s="53" t="s">
        <v>255</v>
      </c>
      <c r="J17" s="46" t="s">
        <v>281</v>
      </c>
    </row>
    <row r="18" spans="1:10" x14ac:dyDescent="0.25">
      <c r="A18" s="37"/>
      <c r="B18" s="15" t="s">
        <v>282</v>
      </c>
      <c r="C18" s="38">
        <f>SUM(C3:C17)</f>
        <v>386980</v>
      </c>
      <c r="D18" s="38">
        <f>SUM(D3:D17)</f>
        <v>192480</v>
      </c>
      <c r="E18" s="38">
        <f>SUM(E3:E17)</f>
        <v>116900</v>
      </c>
      <c r="F18" s="38">
        <f>SUM(F3:F17)</f>
        <v>53500</v>
      </c>
      <c r="G18" s="38">
        <f>SUM(G3:G17)</f>
        <v>24100</v>
      </c>
      <c r="H18" s="15"/>
      <c r="I18" s="15"/>
    </row>
    <row r="20" spans="1:10" ht="15" customHeight="1" x14ac:dyDescent="0.25">
      <c r="A20" s="82" t="s">
        <v>283</v>
      </c>
      <c r="B20" s="82"/>
      <c r="C20" s="82"/>
      <c r="D20" s="54">
        <f>AVERAGEIF(H3:H17,"&lt;&gt;0",H3:H17)</f>
        <v>43.6</v>
      </c>
      <c r="E20" s="55" t="s">
        <v>284</v>
      </c>
    </row>
    <row r="21" spans="1:10" ht="15" customHeight="1" x14ac:dyDescent="0.25">
      <c r="A21" s="83" t="s">
        <v>285</v>
      </c>
      <c r="B21" s="83"/>
      <c r="C21" s="83"/>
      <c r="D21" s="84" t="s">
        <v>286</v>
      </c>
      <c r="E21" s="84"/>
      <c r="F21" s="84"/>
      <c r="G21" s="84"/>
      <c r="H21" s="84"/>
      <c r="I21" s="84"/>
      <c r="J21" s="84"/>
    </row>
    <row r="23" spans="1:10" ht="34.5" customHeight="1" x14ac:dyDescent="0.25">
      <c r="A23" s="82" t="s">
        <v>287</v>
      </c>
      <c r="B23" s="82"/>
      <c r="C23" s="82"/>
      <c r="D23" s="82"/>
      <c r="E23" s="82"/>
      <c r="F23" s="82"/>
      <c r="G23" s="82"/>
      <c r="H23" s="82"/>
      <c r="I23" s="82"/>
      <c r="J23" s="82"/>
    </row>
  </sheetData>
  <mergeCells count="5">
    <mergeCell ref="A1:J1"/>
    <mergeCell ref="A20:C20"/>
    <mergeCell ref="A21:C21"/>
    <mergeCell ref="D21:J21"/>
    <mergeCell ref="A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5" width="16" customWidth="1"/>
    <col min="6" max="6" width="28" customWidth="1"/>
  </cols>
  <sheetData>
    <row r="1" spans="2:6" ht="42" customHeight="1" x14ac:dyDescent="0.25">
      <c r="B1" s="85" t="s">
        <v>326</v>
      </c>
      <c r="C1" s="85"/>
      <c r="D1" s="85"/>
      <c r="E1" s="85"/>
      <c r="F1" s="85"/>
    </row>
    <row r="3" spans="2:6" x14ac:dyDescent="0.25">
      <c r="B3" s="77" t="s">
        <v>288</v>
      </c>
      <c r="C3" s="77"/>
      <c r="D3" s="77"/>
      <c r="E3" s="77"/>
      <c r="F3" s="77"/>
    </row>
    <row r="4" spans="2:6" x14ac:dyDescent="0.25">
      <c r="B4" s="8" t="s">
        <v>327</v>
      </c>
      <c r="C4" s="8"/>
      <c r="D4" s="56">
        <v>97840.22</v>
      </c>
      <c r="E4" s="8"/>
      <c r="F4" s="8"/>
    </row>
    <row r="5" spans="2:6" ht="36" x14ac:dyDescent="0.25">
      <c r="B5" s="6" t="s">
        <v>289</v>
      </c>
      <c r="C5" s="6"/>
      <c r="D5" s="7">
        <v>-8420.15</v>
      </c>
      <c r="E5" s="6"/>
      <c r="F5" s="57" t="s">
        <v>290</v>
      </c>
    </row>
    <row r="6" spans="2:6" ht="36" x14ac:dyDescent="0.25">
      <c r="B6" s="8" t="s">
        <v>291</v>
      </c>
      <c r="C6" s="8"/>
      <c r="D6" s="9">
        <v>4900</v>
      </c>
      <c r="E6" s="8"/>
      <c r="F6" s="57" t="s">
        <v>292</v>
      </c>
    </row>
    <row r="7" spans="2:6" ht="24" x14ac:dyDescent="0.25">
      <c r="B7" s="58" t="s">
        <v>293</v>
      </c>
      <c r="C7" s="6"/>
      <c r="D7" s="7">
        <v>-124.5</v>
      </c>
      <c r="E7" s="6"/>
      <c r="F7" s="57" t="s">
        <v>294</v>
      </c>
    </row>
    <row r="8" spans="2:6" x14ac:dyDescent="0.25">
      <c r="B8" s="12" t="s">
        <v>295</v>
      </c>
      <c r="C8" s="12"/>
      <c r="D8" s="13">
        <f>D4+SUM(D5:D7)</f>
        <v>94195.57</v>
      </c>
      <c r="E8" s="12"/>
      <c r="F8" s="12"/>
    </row>
    <row r="10" spans="2:6" x14ac:dyDescent="0.25">
      <c r="B10" s="77" t="s">
        <v>296</v>
      </c>
      <c r="C10" s="77"/>
      <c r="D10" s="77"/>
      <c r="E10" s="77"/>
      <c r="F10" s="77"/>
    </row>
    <row r="11" spans="2:6" x14ac:dyDescent="0.25">
      <c r="B11" s="8" t="s">
        <v>328</v>
      </c>
      <c r="C11" s="8"/>
      <c r="D11" s="56">
        <v>94320</v>
      </c>
      <c r="E11" s="8"/>
      <c r="F11" s="8"/>
    </row>
    <row r="12" spans="2:6" ht="24" x14ac:dyDescent="0.25">
      <c r="B12" s="58" t="s">
        <v>297</v>
      </c>
      <c r="C12" s="6"/>
      <c r="D12" s="7">
        <v>187.42</v>
      </c>
      <c r="E12" s="6"/>
      <c r="F12" s="57" t="s">
        <v>298</v>
      </c>
    </row>
    <row r="13" spans="2:6" ht="48" x14ac:dyDescent="0.25">
      <c r="B13" s="59" t="s">
        <v>299</v>
      </c>
      <c r="C13" s="8"/>
      <c r="D13" s="60">
        <v>-1191.6400000000001</v>
      </c>
      <c r="E13" s="8"/>
      <c r="F13" s="57" t="s">
        <v>300</v>
      </c>
    </row>
    <row r="14" spans="2:6" ht="36" x14ac:dyDescent="0.25">
      <c r="B14" s="61" t="s">
        <v>301</v>
      </c>
      <c r="C14" s="6"/>
      <c r="D14" s="7">
        <v>1000</v>
      </c>
      <c r="E14" s="6"/>
      <c r="F14" s="57" t="s">
        <v>302</v>
      </c>
    </row>
    <row r="15" spans="2:6" x14ac:dyDescent="0.25">
      <c r="B15" s="12" t="s">
        <v>303</v>
      </c>
      <c r="C15" s="12"/>
      <c r="D15" s="13">
        <f>D11+SUM(D12:D14)</f>
        <v>94315.78</v>
      </c>
      <c r="E15" s="12"/>
      <c r="F15" s="12"/>
    </row>
    <row r="17" spans="2:6" x14ac:dyDescent="0.25">
      <c r="B17" s="86" t="s">
        <v>304</v>
      </c>
      <c r="C17" s="86"/>
      <c r="D17" s="86"/>
      <c r="E17" s="86"/>
      <c r="F17" s="86"/>
    </row>
    <row r="18" spans="2:6" ht="15.75" x14ac:dyDescent="0.25">
      <c r="B18" s="62" t="s">
        <v>305</v>
      </c>
      <c r="D18" s="63">
        <f>D8-D15</f>
        <v>-120.20999999999185</v>
      </c>
      <c r="E18" s="55" t="s">
        <v>306</v>
      </c>
    </row>
    <row r="20" spans="2:6" ht="49.5" customHeight="1" x14ac:dyDescent="0.25">
      <c r="B20" s="82" t="s">
        <v>307</v>
      </c>
      <c r="C20" s="82"/>
      <c r="D20" s="82"/>
      <c r="E20" s="82"/>
      <c r="F20" s="82"/>
    </row>
  </sheetData>
  <mergeCells count="5">
    <mergeCell ref="B1:F1"/>
    <mergeCell ref="B3:F3"/>
    <mergeCell ref="B10:F10"/>
    <mergeCell ref="B17:F17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1. Balanç de Situació</vt:lpstr>
      <vt:lpstr>2. Compte de P&amp;G</vt:lpstr>
      <vt:lpstr>3. Llibre Amortitzacions</vt:lpstr>
      <vt:lpstr>4. Llibre de Clients</vt:lpstr>
      <vt:lpstr>5. Llibre de Proveïdors</vt:lpstr>
      <vt:lpstr>6. Conciliació Bancària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Carme Monserrat</cp:lastModifiedBy>
  <cp:revision>0</cp:revision>
  <dcterms:created xsi:type="dcterms:W3CDTF">2026-05-01T20:18:34Z</dcterms:created>
  <dcterms:modified xsi:type="dcterms:W3CDTF">2026-05-04T09:38:24Z</dcterms:modified>
  <dc:language>en-US</dc:language>
</cp:coreProperties>
</file>